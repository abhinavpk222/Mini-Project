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166925"/>
  <mc:AlternateContent xmlns:mc="http://schemas.openxmlformats.org/markup-compatibility/2006">
    <mc:Choice Requires="x15">
      <x15ac:absPath xmlns:x15ac="http://schemas.microsoft.com/office/spreadsheetml/2010/11/ac" url="C:\Github\"/>
    </mc:Choice>
  </mc:AlternateContent>
  <xr:revisionPtr revIDLastSave="0" documentId="13_ncr:1_{282C6FD7-939B-4F5E-80C2-6A0B75ECCC29}" xr6:coauthVersionLast="47" xr6:coauthVersionMax="47" xr10:uidLastSave="{00000000-0000-0000-0000-000000000000}"/>
  <bookViews>
    <workbookView xWindow="-120" yWindow="-120" windowWidth="29040" windowHeight="15720" xr2:uid="{0194E00A-79AC-4FA0-A5AC-85B49F205FA0}"/>
  </bookViews>
  <sheets>
    <sheet name="budgetwise_finance_dataset " sheetId="1" r:id="rId1"/>
    <sheet name="Pivot" sheetId="4" r:id="rId2"/>
  </sheets>
  <definedNames>
    <definedName name="_xlnm._FilterDatabase" localSheetId="0" hidden="1">'budgetwise_finance_dataset '!$A$1:$Q$750</definedName>
    <definedName name="Slicer_Date">#N/A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47" i="1" l="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c r="H161" i="1" a="1"/>
  <c r="H161" i="1" s="1"/>
  <c r="H162" i="1" a="1"/>
  <c r="H162" i="1" s="1"/>
  <c r="H163" i="1" a="1"/>
  <c r="H163" i="1" s="1"/>
  <c r="H164" i="1" a="1"/>
  <c r="H164" i="1" s="1"/>
  <c r="H165" i="1" a="1"/>
  <c r="H165" i="1" s="1"/>
  <c r="H166" i="1" a="1"/>
  <c r="H166" i="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c r="H272" i="1" a="1"/>
  <c r="H272" i="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c r="H333" i="1" a="1"/>
  <c r="H333" i="1" s="1"/>
  <c r="H334" i="1" a="1"/>
  <c r="H334" i="1" s="1"/>
  <c r="H335" i="1" a="1"/>
  <c r="H335" i="1"/>
  <c r="H336" i="1" a="1"/>
  <c r="H336" i="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c r="H354" i="1" a="1"/>
  <c r="H354" i="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376" i="1" a="1"/>
  <c r="H376" i="1" s="1"/>
  <c r="H377" i="1" a="1"/>
  <c r="H377" i="1" s="1"/>
  <c r="H378" i="1" a="1"/>
  <c r="H378" i="1" s="1"/>
  <c r="H379" i="1" a="1"/>
  <c r="H379" i="1" s="1"/>
  <c r="H380" i="1" a="1"/>
  <c r="H380" i="1" s="1"/>
  <c r="H381" i="1" a="1"/>
  <c r="H381" i="1" s="1"/>
  <c r="H382" i="1" a="1"/>
  <c r="H382" i="1"/>
  <c r="H383" i="1" a="1"/>
  <c r="H383" i="1" s="1"/>
  <c r="H384" i="1" a="1"/>
  <c r="H384" i="1"/>
  <c r="H385" i="1" a="1"/>
  <c r="H385" i="1" s="1"/>
  <c r="H386" i="1" a="1"/>
  <c r="H386" i="1" s="1"/>
  <c r="H387" i="1" a="1"/>
  <c r="H387" i="1" s="1"/>
  <c r="H388" i="1" a="1"/>
  <c r="H388" i="1" s="1"/>
  <c r="H389" i="1" a="1"/>
  <c r="H389" i="1" s="1"/>
  <c r="H390" i="1" a="1"/>
  <c r="H390" i="1"/>
  <c r="H391" i="1" a="1"/>
  <c r="H391" i="1" s="1"/>
  <c r="H392" i="1" a="1"/>
  <c r="H392" i="1" s="1"/>
  <c r="H393" i="1" a="1"/>
  <c r="H393" i="1" s="1"/>
  <c r="H394" i="1" a="1"/>
  <c r="H394" i="1" s="1"/>
  <c r="H395" i="1" a="1"/>
  <c r="H395" i="1" s="1"/>
  <c r="H396" i="1" a="1"/>
  <c r="H396" i="1" s="1"/>
  <c r="H397" i="1" a="1"/>
  <c r="H397" i="1" s="1"/>
  <c r="H398" i="1" a="1"/>
  <c r="H398" i="1" s="1"/>
  <c r="H399" i="1" a="1"/>
  <c r="H399" i="1" s="1"/>
  <c r="H400" i="1" a="1"/>
  <c r="H400" i="1"/>
  <c r="H401" i="1" a="1"/>
  <c r="H401" i="1" s="1"/>
  <c r="H402" i="1" a="1"/>
  <c r="H402" i="1" s="1"/>
  <c r="H403" i="1" a="1"/>
  <c r="H403" i="1" s="1"/>
  <c r="H404" i="1" a="1"/>
  <c r="H404" i="1"/>
  <c r="H405" i="1" a="1"/>
  <c r="H405" i="1" s="1"/>
  <c r="H406" i="1" a="1"/>
  <c r="H406" i="1" s="1"/>
  <c r="H407" i="1" a="1"/>
  <c r="H407" i="1" s="1"/>
  <c r="H408" i="1" a="1"/>
  <c r="H408" i="1" s="1"/>
  <c r="H409" i="1" a="1"/>
  <c r="H409" i="1" s="1"/>
  <c r="H410" i="1" a="1"/>
  <c r="H410" i="1" s="1"/>
  <c r="H411" i="1" a="1"/>
  <c r="H411" i="1" s="1"/>
  <c r="H412" i="1" a="1"/>
  <c r="H412" i="1"/>
  <c r="H413" i="1" a="1"/>
  <c r="H413" i="1" s="1"/>
  <c r="H414" i="1" a="1"/>
  <c r="H414" i="1" s="1"/>
  <c r="H415" i="1" a="1"/>
  <c r="H415" i="1" s="1"/>
  <c r="H416" i="1" a="1"/>
  <c r="H416" i="1" s="1"/>
  <c r="H417" i="1" a="1"/>
  <c r="H417" i="1" s="1"/>
  <c r="H418" i="1" a="1"/>
  <c r="H418" i="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c r="H431" i="1" a="1"/>
  <c r="H431" i="1" s="1"/>
  <c r="H432" i="1" a="1"/>
  <c r="H432" i="1" s="1"/>
  <c r="H433" i="1" a="1"/>
  <c r="H433" i="1" s="1"/>
  <c r="H434" i="1" a="1"/>
  <c r="H434" i="1" s="1"/>
  <c r="H435" i="1" a="1"/>
  <c r="H435" i="1" s="1"/>
  <c r="H436" i="1" a="1"/>
  <c r="H436" i="1" s="1"/>
  <c r="H437" i="1" a="1"/>
  <c r="H437" i="1" s="1"/>
  <c r="H438" i="1" a="1"/>
  <c r="H438" i="1" s="1"/>
  <c r="H439" i="1" a="1"/>
  <c r="H439" i="1"/>
  <c r="H440" i="1" a="1"/>
  <c r="H440" i="1" s="1"/>
  <c r="H441" i="1" a="1"/>
  <c r="H441" i="1" s="1"/>
  <c r="H442" i="1" a="1"/>
  <c r="H442" i="1" s="1"/>
  <c r="H443" i="1" a="1"/>
  <c r="H443" i="1" s="1"/>
  <c r="H444" i="1" a="1"/>
  <c r="H444" i="1"/>
  <c r="H445" i="1" a="1"/>
  <c r="H445" i="1" s="1"/>
  <c r="H446" i="1" a="1"/>
  <c r="H446" i="1" s="1"/>
  <c r="H447" i="1" a="1"/>
  <c r="H447" i="1" s="1"/>
  <c r="H448" i="1" a="1"/>
  <c r="H448" i="1" s="1"/>
  <c r="H449" i="1" a="1"/>
  <c r="H449" i="1" s="1"/>
  <c r="H450" i="1" a="1"/>
  <c r="H450" i="1" s="1"/>
  <c r="H451" i="1" a="1"/>
  <c r="H451" i="1" s="1"/>
  <c r="H452" i="1" a="1"/>
  <c r="H452" i="1" s="1"/>
  <c r="H453" i="1" a="1"/>
  <c r="H453" i="1" s="1"/>
  <c r="H454" i="1" a="1"/>
  <c r="H454" i="1"/>
  <c r="H455" i="1" a="1"/>
  <c r="H455" i="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c r="H467" i="1" a="1"/>
  <c r="H467" i="1" s="1"/>
  <c r="H468" i="1" a="1"/>
  <c r="H468" i="1" s="1"/>
  <c r="H469" i="1" a="1"/>
  <c r="H469" i="1" s="1"/>
  <c r="H470" i="1" a="1"/>
  <c r="H470" i="1" s="1"/>
  <c r="H471" i="1" a="1"/>
  <c r="H471" i="1" s="1"/>
  <c r="H472" i="1" a="1"/>
  <c r="H472" i="1"/>
  <c r="H473" i="1" a="1"/>
  <c r="H473" i="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c r="H485" i="1" a="1"/>
  <c r="H485" i="1" s="1"/>
  <c r="H486" i="1" a="1"/>
  <c r="H486" i="1" s="1"/>
  <c r="H487" i="1" a="1"/>
  <c r="H487" i="1" s="1"/>
  <c r="H488" i="1" a="1"/>
  <c r="H488" i="1" s="1"/>
  <c r="H489" i="1" a="1"/>
  <c r="H489" i="1" s="1"/>
  <c r="H490" i="1" a="1"/>
  <c r="H490" i="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502" i="1" a="1"/>
  <c r="H502" i="1" s="1"/>
  <c r="H503" i="1" a="1"/>
  <c r="H503" i="1" s="1"/>
  <c r="H504" i="1" a="1"/>
  <c r="H504" i="1" s="1"/>
  <c r="H505" i="1" a="1"/>
  <c r="H505" i="1" s="1"/>
  <c r="H506" i="1" a="1"/>
  <c r="H506" i="1" s="1"/>
  <c r="H507" i="1" a="1"/>
  <c r="H507" i="1" s="1"/>
  <c r="H508" i="1" a="1"/>
  <c r="H508" i="1" s="1"/>
  <c r="H509" i="1" a="1"/>
  <c r="H509" i="1" s="1"/>
  <c r="H510" i="1" a="1"/>
  <c r="H510" i="1" s="1"/>
  <c r="H511" i="1" a="1"/>
  <c r="H511" i="1" s="1"/>
  <c r="H512" i="1" a="1"/>
  <c r="H512" i="1" s="1"/>
  <c r="H513" i="1" a="1"/>
  <c r="H513" i="1" s="1"/>
  <c r="H514" i="1" a="1"/>
  <c r="H514" i="1" s="1"/>
  <c r="H515" i="1" a="1"/>
  <c r="H515" i="1" s="1"/>
  <c r="H516" i="1" a="1"/>
  <c r="H516" i="1"/>
  <c r="H517" i="1" a="1"/>
  <c r="H517" i="1" s="1"/>
  <c r="H518" i="1" a="1"/>
  <c r="H518" i="1" s="1"/>
  <c r="H519" i="1" a="1"/>
  <c r="H519" i="1" s="1"/>
  <c r="H520" i="1" a="1"/>
  <c r="H520" i="1" s="1"/>
  <c r="H521" i="1" a="1"/>
  <c r="H521" i="1"/>
  <c r="H522" i="1" a="1"/>
  <c r="H522" i="1" s="1"/>
  <c r="H523" i="1" a="1"/>
  <c r="H523" i="1" s="1"/>
  <c r="H524" i="1" a="1"/>
  <c r="H524" i="1"/>
  <c r="H525" i="1" a="1"/>
  <c r="H525" i="1" s="1"/>
  <c r="H526" i="1" a="1"/>
  <c r="H526" i="1" s="1"/>
  <c r="H527" i="1" a="1"/>
  <c r="H527" i="1"/>
  <c r="H528" i="1" a="1"/>
  <c r="H528" i="1"/>
  <c r="H529" i="1" a="1"/>
  <c r="H529" i="1" s="1"/>
  <c r="H530" i="1" a="1"/>
  <c r="H530" i="1" s="1"/>
  <c r="H531" i="1" a="1"/>
  <c r="H531" i="1" s="1"/>
  <c r="H532" i="1" a="1"/>
  <c r="H532" i="1" s="1"/>
  <c r="H533" i="1" a="1"/>
  <c r="H533" i="1" s="1"/>
  <c r="H534" i="1" a="1"/>
  <c r="H534" i="1" s="1"/>
  <c r="H535" i="1" a="1"/>
  <c r="H535" i="1" s="1"/>
  <c r="H536" i="1" a="1"/>
  <c r="H536" i="1"/>
  <c r="H537" i="1" a="1"/>
  <c r="H537" i="1" s="1"/>
  <c r="H538" i="1" a="1"/>
  <c r="H538" i="1" s="1"/>
  <c r="H539" i="1" a="1"/>
  <c r="H539" i="1" s="1"/>
  <c r="H540" i="1" a="1"/>
  <c r="H540" i="1" s="1"/>
  <c r="H541" i="1" a="1"/>
  <c r="H541" i="1" s="1"/>
  <c r="H542" i="1" a="1"/>
  <c r="H542" i="1" s="1"/>
  <c r="H543" i="1" a="1"/>
  <c r="H543" i="1" s="1"/>
  <c r="H544" i="1" a="1"/>
  <c r="H544" i="1" s="1"/>
  <c r="H545" i="1" a="1"/>
  <c r="H545" i="1"/>
  <c r="H546" i="1" a="1"/>
  <c r="H546" i="1" s="1"/>
  <c r="H547" i="1" a="1"/>
  <c r="H547" i="1" s="1"/>
  <c r="H548" i="1" a="1"/>
  <c r="H548" i="1" s="1"/>
  <c r="H549" i="1" a="1"/>
  <c r="H549" i="1" s="1"/>
  <c r="H550" i="1" a="1"/>
  <c r="H550" i="1" s="1"/>
  <c r="H551" i="1" a="1"/>
  <c r="H551" i="1" s="1"/>
  <c r="H552" i="1" a="1"/>
  <c r="H552" i="1" s="1"/>
  <c r="H553" i="1" a="1"/>
  <c r="H553" i="1" s="1"/>
  <c r="H554" i="1" a="1"/>
  <c r="H554" i="1" s="1"/>
  <c r="H555" i="1" a="1"/>
  <c r="H555" i="1" s="1"/>
  <c r="H556" i="1" a="1"/>
  <c r="H556" i="1"/>
  <c r="H557" i="1" a="1"/>
  <c r="H557" i="1" s="1"/>
  <c r="H558" i="1" a="1"/>
  <c r="H558" i="1" s="1"/>
  <c r="H559" i="1" a="1"/>
  <c r="H559" i="1" s="1"/>
  <c r="H560" i="1" a="1"/>
  <c r="H560" i="1" s="1"/>
  <c r="H561" i="1" a="1"/>
  <c r="H561" i="1" s="1"/>
  <c r="H562" i="1" a="1"/>
  <c r="H562" i="1" s="1"/>
  <c r="H563" i="1" a="1"/>
  <c r="H563" i="1" s="1"/>
  <c r="H564" i="1" a="1"/>
  <c r="H564" i="1" s="1"/>
  <c r="H565" i="1" a="1"/>
  <c r="H565" i="1" s="1"/>
  <c r="H566" i="1" a="1"/>
  <c r="H566" i="1" s="1"/>
  <c r="H567" i="1" a="1"/>
  <c r="H567" i="1" s="1"/>
  <c r="H568" i="1" a="1"/>
  <c r="H568" i="1" s="1"/>
  <c r="H569" i="1" a="1"/>
  <c r="H569" i="1" s="1"/>
  <c r="H570" i="1" a="1"/>
  <c r="H570" i="1" s="1"/>
  <c r="H571" i="1" a="1"/>
  <c r="H571" i="1" s="1"/>
  <c r="H572" i="1" a="1"/>
  <c r="H572" i="1" s="1"/>
  <c r="H573" i="1" a="1"/>
  <c r="H573" i="1" s="1"/>
  <c r="H574" i="1" a="1"/>
  <c r="H574" i="1" s="1"/>
  <c r="H575" i="1" a="1"/>
  <c r="H575" i="1"/>
  <c r="H576" i="1" a="1"/>
  <c r="H576" i="1" s="1"/>
  <c r="H577" i="1" a="1"/>
  <c r="H577" i="1" s="1"/>
  <c r="H578" i="1" a="1"/>
  <c r="H578" i="1" s="1"/>
  <c r="H579" i="1" a="1"/>
  <c r="H579" i="1" s="1"/>
  <c r="H580" i="1" a="1"/>
  <c r="H580" i="1"/>
  <c r="H581" i="1" a="1"/>
  <c r="H581" i="1" s="1"/>
  <c r="H582" i="1" a="1"/>
  <c r="H582" i="1" s="1"/>
  <c r="H583" i="1" a="1"/>
  <c r="H583" i="1"/>
  <c r="H584" i="1" a="1"/>
  <c r="H584" i="1" s="1"/>
  <c r="H585" i="1" a="1"/>
  <c r="H585" i="1" s="1"/>
  <c r="H586" i="1" a="1"/>
  <c r="H586" i="1" s="1"/>
  <c r="H587" i="1" a="1"/>
  <c r="H587" i="1" s="1"/>
  <c r="H588" i="1" a="1"/>
  <c r="H588" i="1" s="1"/>
  <c r="H589" i="1" a="1"/>
  <c r="H589" i="1" s="1"/>
  <c r="H590" i="1" a="1"/>
  <c r="H590" i="1" s="1"/>
  <c r="H591" i="1" a="1"/>
  <c r="H591" i="1" s="1"/>
  <c r="H592" i="1" a="1"/>
  <c r="H592" i="1" s="1"/>
  <c r="H593" i="1" a="1"/>
  <c r="H593" i="1"/>
  <c r="H594" i="1" a="1"/>
  <c r="H594" i="1" s="1"/>
  <c r="H595" i="1" a="1"/>
  <c r="H595" i="1" s="1"/>
  <c r="H596" i="1" a="1"/>
  <c r="H596" i="1" s="1"/>
  <c r="H597" i="1" a="1"/>
  <c r="H597" i="1" s="1"/>
  <c r="H598" i="1" a="1"/>
  <c r="H598" i="1" s="1"/>
  <c r="H599" i="1" a="1"/>
  <c r="H599" i="1" s="1"/>
  <c r="H600" i="1" a="1"/>
  <c r="H600" i="1" s="1"/>
  <c r="H601" i="1" a="1"/>
  <c r="H601" i="1"/>
  <c r="H602" i="1" a="1"/>
  <c r="H602" i="1" s="1"/>
  <c r="H603" i="1" a="1"/>
  <c r="H603" i="1" s="1"/>
  <c r="H604" i="1" a="1"/>
  <c r="H604" i="1" s="1"/>
  <c r="H605" i="1" a="1"/>
  <c r="H605" i="1" s="1"/>
  <c r="H606" i="1" a="1"/>
  <c r="H606" i="1" s="1"/>
  <c r="H607" i="1" a="1"/>
  <c r="H607" i="1" s="1"/>
  <c r="H608" i="1" a="1"/>
  <c r="H608" i="1" s="1"/>
  <c r="H609" i="1" a="1"/>
  <c r="H609" i="1"/>
  <c r="H610" i="1" a="1"/>
  <c r="H610" i="1" s="1"/>
  <c r="H611" i="1" a="1"/>
  <c r="H611" i="1" s="1"/>
  <c r="H612" i="1" a="1"/>
  <c r="H612" i="1"/>
  <c r="H613" i="1" a="1"/>
  <c r="H613" i="1" s="1"/>
  <c r="H614" i="1" a="1"/>
  <c r="H614" i="1" s="1"/>
  <c r="H615" i="1" a="1"/>
  <c r="H615" i="1" s="1"/>
  <c r="H616" i="1" a="1"/>
  <c r="H616" i="1" s="1"/>
  <c r="H617" i="1" a="1"/>
  <c r="H617" i="1" s="1"/>
  <c r="H618" i="1" a="1"/>
  <c r="H618" i="1"/>
  <c r="H619" i="1" a="1"/>
  <c r="H619" i="1" s="1"/>
  <c r="H620" i="1" a="1"/>
  <c r="H620" i="1" s="1"/>
  <c r="H621" i="1" a="1"/>
  <c r="H621" i="1" s="1"/>
  <c r="H622" i="1" a="1"/>
  <c r="H622" i="1" s="1"/>
  <c r="H623" i="1" a="1"/>
  <c r="H623" i="1" s="1"/>
  <c r="H624" i="1" a="1"/>
  <c r="H624" i="1" s="1"/>
  <c r="H625" i="1" a="1"/>
  <c r="H625" i="1" s="1"/>
  <c r="H626" i="1" a="1"/>
  <c r="H626" i="1" s="1"/>
  <c r="H627" i="1" a="1"/>
  <c r="H627" i="1" s="1"/>
  <c r="H628" i="1" a="1"/>
  <c r="H628" i="1"/>
  <c r="H629" i="1" a="1"/>
  <c r="H629" i="1" s="1"/>
  <c r="H630" i="1" a="1"/>
  <c r="H630" i="1" s="1"/>
  <c r="H631" i="1" a="1"/>
  <c r="H631" i="1"/>
  <c r="H632" i="1" a="1"/>
  <c r="H632" i="1" s="1"/>
  <c r="H633" i="1" a="1"/>
  <c r="H633" i="1" s="1"/>
  <c r="H634" i="1" a="1"/>
  <c r="H634" i="1" s="1"/>
  <c r="H635" i="1" a="1"/>
  <c r="H635" i="1" s="1"/>
  <c r="H636" i="1" a="1"/>
  <c r="H636" i="1" s="1"/>
  <c r="H637" i="1" a="1"/>
  <c r="H637" i="1" s="1"/>
  <c r="H638" i="1" a="1"/>
  <c r="H638" i="1" s="1"/>
  <c r="H639" i="1" a="1"/>
  <c r="H639" i="1" s="1"/>
  <c r="H640" i="1" a="1"/>
  <c r="H640" i="1" s="1"/>
  <c r="H641" i="1" a="1"/>
  <c r="H641" i="1" s="1"/>
  <c r="H642" i="1" a="1"/>
  <c r="H642" i="1" s="1"/>
  <c r="H643" i="1" a="1"/>
  <c r="H643" i="1" s="1"/>
  <c r="H644" i="1" a="1"/>
  <c r="H644" i="1"/>
  <c r="H645" i="1" a="1"/>
  <c r="H645" i="1" s="1"/>
  <c r="H646" i="1" a="1"/>
  <c r="H646" i="1" s="1"/>
  <c r="H647" i="1" a="1"/>
  <c r="H647" i="1"/>
  <c r="H648" i="1" a="1"/>
  <c r="H648" i="1" s="1"/>
  <c r="H649" i="1" a="1"/>
  <c r="H649" i="1" s="1"/>
  <c r="H650" i="1" a="1"/>
  <c r="H650" i="1" s="1"/>
  <c r="H651" i="1" a="1"/>
  <c r="H651" i="1" s="1"/>
  <c r="H652" i="1" a="1"/>
  <c r="H652" i="1"/>
  <c r="H653" i="1" a="1"/>
  <c r="H653" i="1" s="1"/>
  <c r="H654" i="1" a="1"/>
  <c r="H654" i="1" s="1"/>
  <c r="H655" i="1" a="1"/>
  <c r="H655" i="1" s="1"/>
  <c r="H656" i="1" a="1"/>
  <c r="H656" i="1" s="1"/>
  <c r="H657" i="1" a="1"/>
  <c r="H657" i="1" s="1"/>
  <c r="H658" i="1" a="1"/>
  <c r="H658" i="1"/>
  <c r="H659" i="1" a="1"/>
  <c r="H659" i="1" s="1"/>
  <c r="H660" i="1" a="1"/>
  <c r="H660" i="1" s="1"/>
  <c r="H661" i="1" a="1"/>
  <c r="H661" i="1" s="1"/>
  <c r="H662" i="1" a="1"/>
  <c r="H662" i="1" s="1"/>
  <c r="H663" i="1" a="1"/>
  <c r="H663" i="1" s="1"/>
  <c r="H664" i="1" a="1"/>
  <c r="H664" i="1"/>
  <c r="H665" i="1" a="1"/>
  <c r="H665" i="1" s="1"/>
  <c r="H666" i="1" a="1"/>
  <c r="H666" i="1" s="1"/>
  <c r="H667" i="1" a="1"/>
  <c r="H667" i="1" s="1"/>
  <c r="H668" i="1" a="1"/>
  <c r="H668" i="1"/>
  <c r="H669" i="1" a="1"/>
  <c r="H669" i="1" s="1"/>
  <c r="H670" i="1" a="1"/>
  <c r="H670" i="1" s="1"/>
  <c r="H671" i="1" a="1"/>
  <c r="H671" i="1" s="1"/>
  <c r="H672" i="1" a="1"/>
  <c r="H672" i="1" s="1"/>
  <c r="H673" i="1" a="1"/>
  <c r="H673" i="1" s="1"/>
  <c r="H674" i="1" a="1"/>
  <c r="H674" i="1"/>
  <c r="H675" i="1" a="1"/>
  <c r="H675" i="1" s="1"/>
  <c r="H676" i="1" a="1"/>
  <c r="H676" i="1" s="1"/>
  <c r="H677" i="1" a="1"/>
  <c r="H677" i="1" s="1"/>
  <c r="H678" i="1" a="1"/>
  <c r="H678" i="1"/>
  <c r="H679" i="1" a="1"/>
  <c r="H679" i="1" s="1"/>
  <c r="H680" i="1" a="1"/>
  <c r="H680" i="1"/>
  <c r="H681" i="1" a="1"/>
  <c r="H681" i="1"/>
  <c r="H682" i="1" a="1"/>
  <c r="H682" i="1" s="1"/>
  <c r="H683" i="1" a="1"/>
  <c r="H683" i="1" s="1"/>
  <c r="H684" i="1" a="1"/>
  <c r="H684" i="1" s="1"/>
  <c r="H685" i="1" a="1"/>
  <c r="H685" i="1"/>
  <c r="H686" i="1" a="1"/>
  <c r="H686" i="1"/>
  <c r="H687" i="1" a="1"/>
  <c r="H687" i="1" s="1"/>
  <c r="H688" i="1" a="1"/>
  <c r="H688" i="1"/>
  <c r="H689" i="1" a="1"/>
  <c r="H689" i="1"/>
  <c r="H690" i="1" a="1"/>
  <c r="H690" i="1" s="1"/>
  <c r="H691" i="1" a="1"/>
  <c r="H691" i="1" s="1"/>
  <c r="H692" i="1" a="1"/>
  <c r="H692" i="1" s="1"/>
  <c r="H693" i="1" a="1"/>
  <c r="H693" i="1"/>
  <c r="H694" i="1" a="1"/>
  <c r="H694" i="1"/>
  <c r="H695" i="1" a="1"/>
  <c r="H695" i="1" s="1"/>
  <c r="H696" i="1" a="1"/>
  <c r="H696" i="1"/>
  <c r="H697" i="1" a="1"/>
  <c r="H697" i="1"/>
  <c r="H698" i="1" a="1"/>
  <c r="H698" i="1" s="1"/>
  <c r="H699" i="1" a="1"/>
  <c r="H699" i="1" s="1"/>
  <c r="H700" i="1" a="1"/>
  <c r="H700" i="1" s="1"/>
  <c r="H701" i="1" a="1"/>
  <c r="H701" i="1"/>
  <c r="H702" i="1" a="1"/>
  <c r="H702" i="1"/>
  <c r="H703" i="1" a="1"/>
  <c r="H703" i="1" s="1"/>
  <c r="H704" i="1" a="1"/>
  <c r="H704" i="1"/>
  <c r="H705" i="1" a="1"/>
  <c r="H705" i="1"/>
  <c r="H706" i="1" a="1"/>
  <c r="H706" i="1" s="1"/>
  <c r="H707" i="1" a="1"/>
  <c r="H707" i="1" s="1"/>
  <c r="H708" i="1" a="1"/>
  <c r="H708" i="1" s="1"/>
  <c r="H709" i="1" a="1"/>
  <c r="H709" i="1"/>
  <c r="H710" i="1" a="1"/>
  <c r="H710" i="1" s="1"/>
  <c r="H711" i="1" a="1"/>
  <c r="H711" i="1" s="1"/>
  <c r="H712" i="1" a="1"/>
  <c r="H712" i="1" s="1"/>
  <c r="H713" i="1" a="1"/>
  <c r="H713" i="1"/>
  <c r="H714" i="1" a="1"/>
  <c r="H714" i="1" s="1"/>
  <c r="H715" i="1" a="1"/>
  <c r="H715" i="1"/>
  <c r="H716" i="1" a="1"/>
  <c r="H716" i="1" s="1"/>
  <c r="H717" i="1" a="1"/>
  <c r="H717" i="1" s="1"/>
  <c r="H718" i="1" a="1"/>
  <c r="H718" i="1" s="1"/>
  <c r="H719" i="1" a="1"/>
  <c r="H719" i="1" s="1"/>
  <c r="H720" i="1" a="1"/>
  <c r="H720" i="1"/>
  <c r="H721" i="1" a="1"/>
  <c r="H721" i="1"/>
  <c r="H722" i="1" a="1"/>
  <c r="H722" i="1" s="1"/>
  <c r="H723" i="1" a="1"/>
  <c r="H723" i="1"/>
  <c r="H724" i="1" a="1"/>
  <c r="H724" i="1"/>
  <c r="H725" i="1" a="1"/>
  <c r="H725" i="1" s="1"/>
  <c r="H726" i="1" a="1"/>
  <c r="H726" i="1" s="1"/>
  <c r="H727" i="1" a="1"/>
  <c r="H727" i="1"/>
  <c r="H728" i="1" a="1"/>
  <c r="H728" i="1"/>
  <c r="H729" i="1" a="1"/>
  <c r="H729" i="1" s="1"/>
  <c r="H730" i="1" a="1"/>
  <c r="H730" i="1"/>
  <c r="H731" i="1" a="1"/>
  <c r="H731" i="1" s="1"/>
  <c r="H732" i="1" a="1"/>
  <c r="H732" i="1" s="1"/>
  <c r="H733" i="1" a="1"/>
  <c r="H733" i="1" s="1"/>
  <c r="H734" i="1" a="1"/>
  <c r="H734" i="1" s="1"/>
  <c r="H735" i="1" a="1"/>
  <c r="H735" i="1"/>
  <c r="H736" i="1" a="1"/>
  <c r="H736" i="1" s="1"/>
  <c r="H737" i="1" a="1"/>
  <c r="H737" i="1"/>
  <c r="H738" i="1" a="1"/>
  <c r="H738" i="1"/>
  <c r="H739" i="1" a="1"/>
  <c r="H739" i="1"/>
  <c r="H740" i="1" a="1"/>
  <c r="H740" i="1" s="1"/>
  <c r="H741" i="1" a="1"/>
  <c r="H741" i="1" s="1"/>
  <c r="H742" i="1" a="1"/>
  <c r="H742" i="1" s="1"/>
  <c r="H743" i="1" a="1"/>
  <c r="H743" i="1" s="1"/>
  <c r="H744" i="1" a="1"/>
  <c r="H744" i="1"/>
  <c r="H745" i="1" a="1"/>
  <c r="H745" i="1" s="1"/>
  <c r="H746" i="1" a="1"/>
  <c r="H746" i="1" s="1"/>
  <c r="H747" i="1" a="1"/>
  <c r="H747" i="1" s="1"/>
  <c r="H2" i="1" a="1"/>
  <c r="H2" i="1" s="1"/>
  <c r="I619" i="1"/>
  <c r="I739" i="1"/>
  <c r="I189" i="1"/>
  <c r="I127" i="1"/>
  <c r="I310" i="1"/>
  <c r="I554" i="1"/>
  <c r="I357" i="1"/>
  <c r="I438" i="1"/>
  <c r="I727" i="1"/>
  <c r="I389" i="1"/>
  <c r="I588" i="1"/>
  <c r="I464" i="1"/>
  <c r="I304" i="1"/>
  <c r="I397" i="1"/>
  <c r="I696" i="1"/>
  <c r="I406" i="1"/>
  <c r="I706" i="1"/>
  <c r="I662" i="1"/>
  <c r="I213" i="1"/>
  <c r="I90" i="1"/>
  <c r="I126" i="1"/>
  <c r="I163" i="1"/>
  <c r="I150" i="1"/>
  <c r="I376" i="1"/>
  <c r="I178" i="1"/>
  <c r="I232" i="1"/>
  <c r="I118" i="1"/>
  <c r="I555" i="1"/>
  <c r="I55" i="1"/>
  <c r="I699" i="1"/>
  <c r="I711" i="1"/>
  <c r="I71" i="1"/>
  <c r="I269" i="1"/>
  <c r="I171" i="1"/>
  <c r="I521" i="1"/>
  <c r="I340" i="1"/>
  <c r="I252" i="1"/>
  <c r="I511" i="1"/>
  <c r="I293" i="1"/>
  <c r="I281" i="1"/>
  <c r="I261" i="1"/>
  <c r="I64" i="1"/>
  <c r="I603" i="1"/>
  <c r="I695" i="1"/>
  <c r="I146" i="1"/>
  <c r="I439" i="1"/>
  <c r="I506" i="1"/>
  <c r="I285" i="1"/>
  <c r="I457" i="1"/>
  <c r="I497" i="1"/>
  <c r="I52" i="1"/>
  <c r="I582" i="1"/>
  <c r="I512" i="1"/>
  <c r="I137" i="1"/>
  <c r="I605" i="1"/>
  <c r="I73" i="1"/>
  <c r="I507" i="1"/>
  <c r="I413" i="1"/>
  <c r="I498" i="1"/>
  <c r="I434" i="1"/>
  <c r="I140" i="1"/>
  <c r="I172" i="1"/>
  <c r="I703" i="1"/>
  <c r="I332" i="1"/>
  <c r="I62" i="1"/>
  <c r="I212" i="1"/>
  <c r="I657" i="1"/>
  <c r="I576" i="1"/>
  <c r="I523" i="1"/>
  <c r="I608" i="1"/>
  <c r="I531" i="1"/>
  <c r="I640" i="1"/>
  <c r="I553" i="1"/>
  <c r="I240" i="1"/>
  <c r="I385" i="1"/>
  <c r="I536" i="1"/>
  <c r="I53" i="1"/>
  <c r="I15" i="1"/>
  <c r="I200" i="1"/>
  <c r="I722" i="1"/>
  <c r="I68" i="1"/>
  <c r="I679" i="1"/>
  <c r="I44" i="1"/>
  <c r="I301" i="1"/>
  <c r="I364" i="1"/>
  <c r="I60" i="1"/>
  <c r="I186" i="1"/>
  <c r="I24" i="1"/>
  <c r="I625" i="1"/>
  <c r="I182" i="1"/>
  <c r="I600" i="1"/>
  <c r="I485" i="1"/>
  <c r="I634" i="1"/>
  <c r="I620" i="1"/>
  <c r="I303" i="1"/>
  <c r="I344" i="1"/>
  <c r="I454" i="1"/>
  <c r="I87" i="1"/>
  <c r="I677" i="1"/>
  <c r="I104" i="1"/>
  <c r="I574" i="1"/>
  <c r="I386" i="1"/>
  <c r="I133" i="1"/>
  <c r="I627" i="1"/>
  <c r="I300" i="1"/>
  <c r="I219" i="1"/>
  <c r="I746" i="1"/>
  <c r="I441" i="1"/>
  <c r="I9" i="1"/>
  <c r="J215" i="1" l="1"/>
  <c r="J187" i="1"/>
  <c r="J621" i="1"/>
  <c r="J192" i="1"/>
  <c r="J456" i="1"/>
  <c r="J33" i="1"/>
  <c r="J502" i="1"/>
  <c r="J584" i="1"/>
  <c r="J719" i="1"/>
  <c r="J365" i="1"/>
  <c r="J135" i="1"/>
  <c r="J372" i="1"/>
  <c r="J602" i="1"/>
  <c r="J351" i="1"/>
  <c r="J530" i="1"/>
  <c r="J218" i="1"/>
  <c r="J529" i="1"/>
  <c r="J165" i="1"/>
  <c r="J525" i="1"/>
  <c r="J42" i="1"/>
  <c r="J623" i="1"/>
  <c r="J298" i="1"/>
  <c r="J557" i="1"/>
  <c r="J371" i="1"/>
  <c r="J479" i="1"/>
  <c r="J398" i="1"/>
  <c r="J96" i="1"/>
  <c r="J95" i="1"/>
  <c r="J581" i="1"/>
  <c r="J382" i="1"/>
  <c r="J170" i="1"/>
  <c r="J505" i="1"/>
  <c r="J180" i="1"/>
  <c r="J313" i="1"/>
  <c r="J720" i="1"/>
  <c r="J477" i="1"/>
  <c r="J156" i="1"/>
  <c r="J115" i="1"/>
  <c r="J228" i="1"/>
  <c r="J551" i="1"/>
  <c r="J19" i="1"/>
  <c r="J611" i="1"/>
  <c r="J128" i="1"/>
  <c r="J203" i="1"/>
  <c r="J552" i="1"/>
  <c r="J732" i="1"/>
  <c r="J295" i="1"/>
  <c r="J266" i="1"/>
  <c r="J70" i="1"/>
  <c r="J538" i="1"/>
  <c r="J296" i="1"/>
  <c r="J191" i="1"/>
  <c r="J676" i="1"/>
  <c r="J122" i="1"/>
  <c r="J337" i="1"/>
  <c r="J444" i="1"/>
  <c r="J34" i="1"/>
  <c r="J644" i="1"/>
  <c r="J524" i="1"/>
  <c r="J341" i="1"/>
  <c r="J534" i="1"/>
  <c r="J56" i="1"/>
  <c r="J390" i="1"/>
  <c r="J325" i="1"/>
  <c r="J591" i="1"/>
  <c r="J315" i="1"/>
  <c r="J253" i="1"/>
  <c r="J177" i="1"/>
  <c r="J31" i="1"/>
  <c r="J613" i="1"/>
  <c r="J59" i="1"/>
  <c r="J136" i="1"/>
  <c r="J277" i="1"/>
  <c r="J39" i="1"/>
  <c r="J488" i="1"/>
  <c r="J668" i="1"/>
  <c r="J368" i="1"/>
  <c r="J633" i="1"/>
  <c r="J6" i="1"/>
  <c r="J175" i="1"/>
  <c r="J671" i="1"/>
  <c r="J571" i="1"/>
  <c r="J610" i="1"/>
  <c r="J567" i="1"/>
  <c r="J294" i="1"/>
  <c r="J643" i="1"/>
  <c r="J399" i="1"/>
  <c r="J99" i="1"/>
  <c r="J14" i="1"/>
  <c r="J717" i="1"/>
  <c r="J81" i="1"/>
  <c r="J114" i="1"/>
  <c r="J539" i="1"/>
  <c r="J29" i="1"/>
  <c r="J724" i="1"/>
  <c r="J289" i="1"/>
  <c r="J601" i="1"/>
  <c r="J312" i="1"/>
  <c r="J465" i="1"/>
  <c r="J157" i="1"/>
  <c r="J463" i="1"/>
  <c r="J79" i="1"/>
  <c r="J92" i="1"/>
  <c r="J78" i="1"/>
  <c r="J260" i="1"/>
  <c r="J566" i="1"/>
  <c r="J20" i="1"/>
  <c r="J338" i="1"/>
  <c r="J188" i="1"/>
  <c r="J306" i="1"/>
  <c r="J276" i="1"/>
  <c r="J251" i="1"/>
  <c r="J740" i="1"/>
  <c r="J273" i="1"/>
  <c r="J528" i="1"/>
  <c r="J689" i="1"/>
  <c r="J67" i="1"/>
  <c r="J481" i="1"/>
  <c r="J499" i="1"/>
  <c r="J417" i="1"/>
  <c r="J533" i="1"/>
  <c r="J229" i="1"/>
  <c r="J687" i="1"/>
  <c r="J537" i="1"/>
  <c r="J258" i="1"/>
  <c r="J256" i="1"/>
  <c r="J658" i="1"/>
  <c r="J478" i="1"/>
  <c r="J598" i="1"/>
  <c r="J700" i="1"/>
  <c r="J654" i="1"/>
  <c r="J181" i="1"/>
  <c r="J461" i="1"/>
  <c r="J698" i="1"/>
  <c r="J596" i="1"/>
  <c r="J167" i="1"/>
  <c r="J744" i="1"/>
  <c r="J248" i="1"/>
  <c r="J105" i="1"/>
  <c r="J425" i="1"/>
  <c r="J656" i="1"/>
  <c r="J701" i="1"/>
  <c r="J349" i="1"/>
  <c r="J198" i="1"/>
  <c r="J607" i="1"/>
  <c r="J639" i="1"/>
  <c r="J482" i="1"/>
  <c r="J307" i="1"/>
  <c r="J597" i="1"/>
  <c r="J148" i="1"/>
  <c r="J11" i="1"/>
  <c r="J314" i="1"/>
  <c r="J723" i="1"/>
  <c r="J2" i="1"/>
  <c r="J129" i="1"/>
  <c r="J449" i="1"/>
  <c r="J354" i="1"/>
  <c r="J429" i="1"/>
  <c r="J393" i="1"/>
  <c r="J84" i="1"/>
  <c r="J196" i="1"/>
  <c r="J565" i="1"/>
  <c r="J437" i="1"/>
  <c r="J308" i="1"/>
  <c r="J734" i="1"/>
  <c r="J388" i="1"/>
  <c r="J323" i="1"/>
  <c r="J642" i="1"/>
  <c r="J563" i="1"/>
  <c r="J383" i="1"/>
  <c r="J327" i="1"/>
  <c r="J646" i="1"/>
  <c r="J612" i="1"/>
  <c r="J474" i="1"/>
  <c r="J155" i="1"/>
  <c r="J369" i="1"/>
  <c r="J193" i="1"/>
  <c r="J516" i="1"/>
  <c r="J737" i="1"/>
  <c r="J116" i="1"/>
  <c r="J74" i="1"/>
  <c r="J267" i="1"/>
  <c r="J570" i="1"/>
  <c r="J632" i="1"/>
  <c r="J675" i="1"/>
  <c r="J473" i="1"/>
  <c r="J373" i="1"/>
  <c r="J670" i="1"/>
  <c r="J663" i="1"/>
  <c r="J659" i="1"/>
  <c r="J275" i="1"/>
  <c r="J123" i="1"/>
  <c r="J692" i="1"/>
  <c r="J527" i="1"/>
  <c r="J121" i="1"/>
  <c r="J446" i="1"/>
  <c r="J58" i="1"/>
  <c r="J61" i="1"/>
  <c r="J51" i="1"/>
  <c r="J80" i="1"/>
  <c r="J359" i="1"/>
  <c r="J311" i="1"/>
  <c r="J609" i="1"/>
  <c r="J117" i="1"/>
  <c r="J158" i="1"/>
  <c r="J546" i="1"/>
  <c r="J132" i="1"/>
  <c r="J693" i="1"/>
  <c r="J345" i="1"/>
  <c r="J550" i="1"/>
  <c r="J17" i="1"/>
  <c r="J515" i="1"/>
  <c r="J72" i="1"/>
  <c r="J380" i="1"/>
  <c r="J221" i="1"/>
  <c r="J342" i="1"/>
  <c r="J185" i="1"/>
  <c r="J569" i="1"/>
  <c r="J472" i="1"/>
  <c r="J174" i="1"/>
  <c r="J568" i="1"/>
  <c r="J416" i="1"/>
  <c r="J184" i="1"/>
  <c r="J217" i="1"/>
  <c r="J559" i="1"/>
  <c r="J415" i="1"/>
  <c r="J125" i="1"/>
  <c r="J353" i="1"/>
  <c r="J10" i="1"/>
  <c r="J420" i="1"/>
  <c r="J408" i="1"/>
  <c r="J651" i="1"/>
  <c r="J599" i="1"/>
  <c r="J410" i="1"/>
  <c r="J407" i="1"/>
  <c r="J418" i="1"/>
  <c r="J255" i="1"/>
  <c r="J106" i="1"/>
  <c r="J678" i="1"/>
  <c r="J352" i="1"/>
  <c r="J321" i="1"/>
  <c r="J669" i="1"/>
  <c r="J83" i="1"/>
  <c r="J733" i="1"/>
  <c r="J108" i="1"/>
  <c r="J448" i="1"/>
  <c r="J82" i="1"/>
  <c r="J716" i="1"/>
  <c r="J330" i="1"/>
  <c r="J299" i="1"/>
  <c r="J239" i="1"/>
  <c r="J714" i="1"/>
  <c r="J28" i="1"/>
  <c r="J265" i="1"/>
  <c r="J8" i="1"/>
  <c r="J443" i="1"/>
  <c r="J162" i="1"/>
  <c r="J459" i="1"/>
  <c r="J36" i="1"/>
  <c r="J592" i="1"/>
  <c r="J486" i="1"/>
  <c r="J245" i="1"/>
  <c r="J244" i="1"/>
  <c r="J445" i="1"/>
  <c r="J635" i="1"/>
  <c r="J622" i="1"/>
  <c r="J268" i="1"/>
  <c r="J93" i="1"/>
  <c r="J495" i="1"/>
  <c r="J197" i="1"/>
  <c r="J580" i="1"/>
  <c r="J501" i="1"/>
  <c r="J558" i="1"/>
  <c r="J451" i="1"/>
  <c r="J97" i="1"/>
  <c r="J207" i="1"/>
  <c r="J593" i="1"/>
  <c r="J320" i="1"/>
  <c r="J147" i="1"/>
  <c r="J432" i="1"/>
  <c r="J426" i="1"/>
  <c r="J680" i="1"/>
  <c r="J649" i="1"/>
  <c r="J641" i="1"/>
  <c r="J681" i="1"/>
  <c r="J91" i="1"/>
  <c r="J685" i="1"/>
  <c r="J75" i="1"/>
  <c r="J673" i="1"/>
  <c r="J645" i="1"/>
  <c r="J270" i="1"/>
  <c r="J12" i="1"/>
  <c r="J725" i="1"/>
  <c r="J518" i="1"/>
  <c r="J272" i="1"/>
  <c r="J729" i="1"/>
  <c r="J489" i="1"/>
  <c r="J7" i="1"/>
  <c r="J381" i="1"/>
  <c r="J493" i="1"/>
  <c r="J361" i="1"/>
  <c r="J370" i="1"/>
  <c r="J250" i="1"/>
  <c r="J291" i="1"/>
  <c r="J227" i="1"/>
  <c r="J403" i="1"/>
  <c r="J624" i="1"/>
  <c r="J503" i="1"/>
  <c r="J564" i="1"/>
  <c r="J490" i="1"/>
  <c r="J144" i="1"/>
  <c r="J715" i="1"/>
  <c r="J199" i="1"/>
  <c r="J45" i="1"/>
  <c r="J549" i="1"/>
  <c r="J210" i="1"/>
  <c r="J331" i="1"/>
  <c r="J615" i="1"/>
  <c r="J139" i="1"/>
  <c r="J637" i="1"/>
  <c r="J379" i="1"/>
  <c r="J88" i="1"/>
  <c r="J43" i="1"/>
  <c r="J263" i="1"/>
  <c r="J520" i="1"/>
  <c r="J350" i="1"/>
  <c r="J547" i="1"/>
  <c r="J697" i="1"/>
  <c r="J594" i="1"/>
  <c r="J225" i="1"/>
  <c r="J421" i="1"/>
  <c r="J466" i="1"/>
  <c r="J143" i="1"/>
  <c r="J65" i="1"/>
  <c r="J69" i="1"/>
  <c r="J694" i="1"/>
  <c r="J21" i="1"/>
  <c r="J702" i="1"/>
  <c r="J713" i="1"/>
  <c r="J391" i="1"/>
  <c r="J23" i="1"/>
  <c r="J16" i="1"/>
  <c r="J328" i="1"/>
  <c r="J387" i="1"/>
  <c r="J433" i="1"/>
  <c r="J666" i="1"/>
  <c r="J688" i="1"/>
  <c r="J54" i="1"/>
  <c r="J274" i="1"/>
  <c r="J237" i="1"/>
  <c r="J492" i="1"/>
  <c r="J326" i="1"/>
  <c r="J204" i="1"/>
  <c r="J431" i="1"/>
  <c r="J652" i="1"/>
  <c r="J134" i="1"/>
  <c r="J112" i="1"/>
  <c r="J262" i="1"/>
  <c r="J243" i="1"/>
  <c r="J736" i="1"/>
  <c r="J579" i="1"/>
  <c r="J208" i="1"/>
  <c r="J32" i="1"/>
  <c r="J378" i="1"/>
  <c r="J672" i="1"/>
  <c r="J142" i="1"/>
  <c r="J355" i="1"/>
  <c r="J731" i="1"/>
  <c r="J280" i="1"/>
  <c r="J324" i="1"/>
  <c r="J710" i="1"/>
  <c r="J606" i="1"/>
  <c r="J618" i="1"/>
  <c r="J3" i="1"/>
  <c r="J226" i="1"/>
  <c r="J279" i="1"/>
  <c r="J77" i="1"/>
  <c r="J287" i="1"/>
  <c r="J453" i="1"/>
  <c r="J4" i="1"/>
  <c r="J540" i="1"/>
  <c r="J468" i="1"/>
  <c r="J471" i="1"/>
  <c r="J510" i="1"/>
  <c r="J686" i="1"/>
  <c r="J317" i="1"/>
  <c r="J168" i="1"/>
  <c r="J614" i="1"/>
  <c r="J682" i="1"/>
  <c r="J236" i="1"/>
  <c r="J653" i="1"/>
  <c r="J152" i="1"/>
  <c r="J195" i="1"/>
  <c r="J561" i="1"/>
  <c r="J747" i="1"/>
  <c r="J578" i="1"/>
  <c r="J395" i="1"/>
  <c r="J548" i="1"/>
  <c r="J138" i="1"/>
  <c r="J290" i="1"/>
  <c r="J483" i="1"/>
  <c r="J494" i="1"/>
  <c r="J26" i="1"/>
  <c r="J617" i="1"/>
  <c r="J690" i="1"/>
  <c r="J302" i="1"/>
  <c r="J246" i="1"/>
  <c r="J476" i="1"/>
  <c r="J741" i="1"/>
  <c r="J206" i="1"/>
  <c r="J411" i="1"/>
  <c r="J704" i="1"/>
  <c r="J282" i="1"/>
  <c r="J247" i="1"/>
  <c r="J628" i="1"/>
  <c r="J50" i="1"/>
  <c r="J691" i="1"/>
  <c r="J286" i="1"/>
  <c r="J587" i="1"/>
  <c r="J346" i="1"/>
  <c r="J209" i="1"/>
  <c r="J102" i="1"/>
  <c r="J428" i="1"/>
  <c r="J254" i="1"/>
  <c r="J190" i="1"/>
  <c r="J394" i="1"/>
  <c r="J705" i="1"/>
  <c r="J626" i="1"/>
  <c r="J509" i="1"/>
  <c r="J242" i="1"/>
  <c r="J427" i="1"/>
  <c r="J49" i="1"/>
  <c r="J638" i="1"/>
  <c r="J583" i="1"/>
  <c r="J450" i="1"/>
  <c r="J532" i="1"/>
  <c r="J660" i="1"/>
  <c r="J224" i="1"/>
  <c r="J257" i="1"/>
  <c r="J572" i="1"/>
  <c r="J333" i="1"/>
  <c r="J742" i="1"/>
  <c r="J41" i="1"/>
  <c r="J412" i="1"/>
  <c r="J271" i="1"/>
  <c r="J375" i="1"/>
  <c r="J517" i="1"/>
  <c r="J508" i="1"/>
  <c r="J667" i="1"/>
  <c r="J169" i="1"/>
  <c r="J460" i="1"/>
  <c r="J166" i="1"/>
  <c r="J348" i="1"/>
  <c r="J545" i="1"/>
  <c r="J447" i="1"/>
  <c r="J535" i="1"/>
  <c r="J577" i="1"/>
  <c r="J455" i="1"/>
  <c r="J164" i="1"/>
  <c r="J728" i="1"/>
  <c r="J743" i="1"/>
  <c r="J526" i="1"/>
  <c r="J730" i="1"/>
  <c r="J318" i="1"/>
  <c r="J35" i="1"/>
  <c r="J665" i="1"/>
  <c r="J249" i="1"/>
  <c r="J712" i="1"/>
  <c r="J514" i="1"/>
  <c r="J316" i="1"/>
  <c r="J396" i="1"/>
  <c r="J648" i="1"/>
  <c r="J522" i="1"/>
  <c r="J458" i="1"/>
  <c r="J322" i="1"/>
  <c r="J392" i="1"/>
  <c r="J238" i="1"/>
  <c r="J573" i="1"/>
  <c r="J738" i="1"/>
  <c r="J309" i="1"/>
  <c r="J179" i="1"/>
  <c r="J647" i="1"/>
  <c r="J130" i="1"/>
  <c r="J153" i="1"/>
  <c r="J440" i="1"/>
  <c r="J230" i="1"/>
  <c r="J220" i="1"/>
  <c r="J202" i="1"/>
  <c r="J575" i="1"/>
  <c r="J424" i="1"/>
  <c r="J709" i="1"/>
  <c r="J586" i="1"/>
  <c r="J37" i="1"/>
  <c r="J470" i="1"/>
  <c r="J176" i="1"/>
  <c r="J423" i="1"/>
  <c r="J22" i="1"/>
  <c r="J235" i="1"/>
  <c r="J480" i="1"/>
  <c r="J664" i="1"/>
  <c r="J435" i="1"/>
  <c r="J47" i="1"/>
  <c r="J629" i="1"/>
  <c r="J334" i="1"/>
  <c r="J513" i="1"/>
  <c r="J160" i="1"/>
  <c r="J154" i="1"/>
  <c r="J86" i="1"/>
  <c r="J519" i="1"/>
  <c r="J145" i="1"/>
  <c r="J201" i="1"/>
  <c r="J726" i="1"/>
  <c r="J366" i="1"/>
  <c r="J487" i="1"/>
  <c r="J278" i="1"/>
  <c r="J631" i="1"/>
  <c r="J141" i="1"/>
  <c r="J542" i="1"/>
  <c r="J63" i="1"/>
  <c r="J436" i="1"/>
  <c r="J223" i="1"/>
  <c r="J363" i="1"/>
  <c r="J616" i="1"/>
  <c r="J400" i="1"/>
  <c r="J205" i="1"/>
  <c r="J405" i="1"/>
  <c r="J358" i="1"/>
  <c r="J402" i="1"/>
  <c r="J94" i="1"/>
  <c r="J544" i="1"/>
  <c r="J374" i="1"/>
  <c r="J5" i="1"/>
  <c r="J149" i="1"/>
  <c r="J288" i="1"/>
  <c r="J284" i="1"/>
  <c r="J661" i="1"/>
  <c r="J504" i="1"/>
  <c r="J18" i="1"/>
  <c r="J173" i="1"/>
  <c r="J356" i="1"/>
  <c r="J48" i="1"/>
  <c r="J721" i="1"/>
  <c r="J367" i="1"/>
  <c r="J283" i="1"/>
  <c r="J111" i="1"/>
  <c r="J100" i="1"/>
  <c r="J110" i="1"/>
  <c r="J119" i="1"/>
  <c r="J684" i="1"/>
  <c r="J595" i="1"/>
  <c r="J491" i="1"/>
  <c r="J467" i="1"/>
  <c r="J655" i="1"/>
  <c r="J292" i="1"/>
  <c r="J234" i="1"/>
  <c r="J109" i="1"/>
  <c r="J241" i="1"/>
  <c r="J233" i="1"/>
  <c r="J76" i="1"/>
  <c r="J13" i="1"/>
  <c r="J604" i="1"/>
  <c r="J85" i="1"/>
  <c r="J216" i="1"/>
  <c r="J707" i="1"/>
  <c r="J89" i="1"/>
  <c r="J377" i="1"/>
  <c r="J590" i="1"/>
  <c r="J674" i="1"/>
  <c r="J101" i="1"/>
  <c r="J556" i="1"/>
  <c r="J120" i="1"/>
  <c r="J500" i="1"/>
  <c r="J683" i="1"/>
  <c r="J211" i="1"/>
  <c r="J98" i="1"/>
  <c r="J630" i="1"/>
  <c r="J409" i="1"/>
  <c r="J560" i="1"/>
  <c r="J347" i="1"/>
  <c r="J404" i="1"/>
  <c r="J264" i="1"/>
  <c r="J442" i="1"/>
  <c r="J430" i="1"/>
  <c r="J27" i="1"/>
  <c r="J462" i="1"/>
  <c r="J419" i="1"/>
  <c r="J131" i="1"/>
  <c r="J360" i="1"/>
  <c r="J183" i="1"/>
  <c r="J401" i="1"/>
  <c r="J708" i="1"/>
  <c r="J336" i="1"/>
  <c r="J735" i="1"/>
  <c r="J231" i="1"/>
  <c r="J159" i="1"/>
  <c r="J297" i="1"/>
  <c r="J103" i="1"/>
  <c r="J25" i="1"/>
  <c r="J384" i="1"/>
  <c r="J222" i="1"/>
  <c r="J57" i="1"/>
  <c r="J38" i="1"/>
  <c r="J469" i="1"/>
  <c r="J107" i="1"/>
  <c r="J585" i="1"/>
  <c r="J541" i="1"/>
  <c r="J259" i="1"/>
  <c r="J496" i="1"/>
  <c r="J745" i="1"/>
  <c r="J161" i="1"/>
  <c r="J329" i="1"/>
  <c r="J66" i="1"/>
  <c r="J46" i="1"/>
  <c r="J214" i="1"/>
  <c r="J124" i="1"/>
  <c r="J422" i="1"/>
  <c r="J562" i="1"/>
  <c r="J414" i="1"/>
  <c r="J319" i="1"/>
  <c r="J335" i="1"/>
  <c r="J305" i="1"/>
  <c r="J718" i="1"/>
  <c r="J362" i="1"/>
  <c r="J30" i="1"/>
  <c r="J339" i="1"/>
  <c r="J636" i="1"/>
  <c r="J151" i="1"/>
  <c r="J113" i="1"/>
  <c r="J475" i="1"/>
  <c r="J343" i="1"/>
  <c r="J452" i="1"/>
  <c r="J194" i="1"/>
  <c r="J40" i="1"/>
  <c r="J543" i="1"/>
  <c r="J589" i="1"/>
  <c r="J650" i="1"/>
  <c r="J484" i="1"/>
  <c r="I215" i="1"/>
  <c r="J619" i="1"/>
  <c r="I187" i="1"/>
  <c r="I621" i="1"/>
  <c r="I192" i="1"/>
  <c r="I456" i="1"/>
  <c r="J739" i="1"/>
  <c r="I33" i="1"/>
  <c r="J189" i="1"/>
  <c r="I502" i="1"/>
  <c r="I584" i="1"/>
  <c r="I719" i="1"/>
  <c r="I365" i="1"/>
  <c r="I135" i="1"/>
  <c r="J127" i="1"/>
  <c r="I372" i="1"/>
  <c r="J310" i="1"/>
  <c r="I602" i="1"/>
  <c r="I351" i="1"/>
  <c r="I530" i="1"/>
  <c r="I218" i="1"/>
  <c r="I529" i="1"/>
  <c r="J554" i="1"/>
  <c r="I165" i="1"/>
  <c r="I525" i="1"/>
  <c r="I42" i="1"/>
  <c r="I623" i="1"/>
  <c r="I298" i="1"/>
  <c r="I557" i="1"/>
  <c r="J357" i="1"/>
  <c r="I371" i="1"/>
  <c r="I479" i="1"/>
  <c r="I398" i="1"/>
  <c r="I96" i="1"/>
  <c r="I95" i="1"/>
  <c r="I581" i="1"/>
  <c r="I382" i="1"/>
  <c r="I170" i="1"/>
  <c r="I505" i="1"/>
  <c r="I180" i="1"/>
  <c r="I313" i="1"/>
  <c r="I720" i="1"/>
  <c r="I477" i="1"/>
  <c r="I156" i="1"/>
  <c r="I115" i="1"/>
  <c r="I228" i="1"/>
  <c r="I551" i="1"/>
  <c r="I19" i="1"/>
  <c r="I611" i="1"/>
  <c r="I128" i="1"/>
  <c r="I203" i="1"/>
  <c r="I552" i="1"/>
  <c r="I732" i="1"/>
  <c r="I295" i="1"/>
  <c r="I266" i="1"/>
  <c r="I70" i="1"/>
  <c r="I538" i="1"/>
  <c r="I296" i="1"/>
  <c r="J438" i="1"/>
  <c r="I191" i="1"/>
  <c r="I676" i="1"/>
  <c r="I122" i="1"/>
  <c r="J727" i="1"/>
  <c r="I337" i="1"/>
  <c r="I444" i="1"/>
  <c r="I34" i="1"/>
  <c r="I644" i="1"/>
  <c r="I524" i="1"/>
  <c r="I341" i="1"/>
  <c r="J389" i="1"/>
  <c r="I534" i="1"/>
  <c r="I56" i="1"/>
  <c r="I390" i="1"/>
  <c r="I325" i="1"/>
  <c r="I591" i="1"/>
  <c r="I315" i="1"/>
  <c r="I253" i="1"/>
  <c r="I177" i="1"/>
  <c r="J588" i="1"/>
  <c r="I31" i="1"/>
  <c r="I613" i="1"/>
  <c r="I59" i="1"/>
  <c r="I136" i="1"/>
  <c r="I277" i="1"/>
  <c r="I39" i="1"/>
  <c r="I488" i="1"/>
  <c r="I668" i="1"/>
  <c r="J464" i="1"/>
  <c r="J304" i="1"/>
  <c r="I368" i="1"/>
  <c r="I633" i="1"/>
  <c r="I6" i="1"/>
  <c r="I175" i="1"/>
  <c r="I671" i="1"/>
  <c r="I571" i="1"/>
  <c r="I610" i="1"/>
  <c r="I567" i="1"/>
  <c r="J397" i="1"/>
  <c r="I294" i="1"/>
  <c r="I643" i="1"/>
  <c r="I399" i="1"/>
  <c r="I99" i="1"/>
  <c r="I14" i="1"/>
  <c r="I717" i="1"/>
  <c r="I81" i="1"/>
  <c r="I114" i="1"/>
  <c r="J696" i="1"/>
  <c r="I539" i="1"/>
  <c r="J406" i="1"/>
  <c r="I29" i="1"/>
  <c r="I724" i="1"/>
  <c r="I289" i="1"/>
  <c r="J706" i="1"/>
  <c r="I601" i="1"/>
  <c r="I312" i="1"/>
  <c r="I465" i="1"/>
  <c r="J662" i="1"/>
  <c r="I157" i="1"/>
  <c r="I463" i="1"/>
  <c r="I79" i="1"/>
  <c r="I92" i="1"/>
  <c r="I78" i="1"/>
  <c r="I260" i="1"/>
  <c r="J213" i="1"/>
  <c r="I566" i="1"/>
  <c r="I20" i="1"/>
  <c r="J90" i="1"/>
  <c r="I338" i="1"/>
  <c r="I188" i="1"/>
  <c r="I306" i="1"/>
  <c r="I276" i="1"/>
  <c r="I251" i="1"/>
  <c r="I740" i="1"/>
  <c r="I273" i="1"/>
  <c r="J126" i="1"/>
  <c r="I528" i="1"/>
  <c r="J163" i="1"/>
  <c r="I689" i="1"/>
  <c r="I67" i="1"/>
  <c r="I481" i="1"/>
  <c r="J150" i="1"/>
  <c r="I499" i="1"/>
  <c r="I417" i="1"/>
  <c r="I533" i="1"/>
  <c r="I229" i="1"/>
  <c r="J376" i="1"/>
  <c r="I687" i="1"/>
  <c r="I537" i="1"/>
  <c r="I258" i="1"/>
  <c r="I256" i="1"/>
  <c r="J178" i="1"/>
  <c r="I658" i="1"/>
  <c r="I478" i="1"/>
  <c r="I598" i="1"/>
  <c r="I700" i="1"/>
  <c r="I654" i="1"/>
  <c r="I181" i="1"/>
  <c r="I461" i="1"/>
  <c r="I698" i="1"/>
  <c r="I596" i="1"/>
  <c r="I167" i="1"/>
  <c r="I744" i="1"/>
  <c r="I248" i="1"/>
  <c r="I105" i="1"/>
  <c r="I425" i="1"/>
  <c r="I656" i="1"/>
  <c r="I701" i="1"/>
  <c r="I349" i="1"/>
  <c r="I198" i="1"/>
  <c r="I607" i="1"/>
  <c r="I639" i="1"/>
  <c r="I482" i="1"/>
  <c r="I307" i="1"/>
  <c r="I597" i="1"/>
  <c r="I148" i="1"/>
  <c r="I11" i="1"/>
  <c r="I314" i="1"/>
  <c r="I723" i="1"/>
  <c r="J232" i="1"/>
  <c r="I2" i="1"/>
  <c r="I129" i="1"/>
  <c r="I449" i="1"/>
  <c r="I354" i="1"/>
  <c r="J118" i="1"/>
  <c r="J555" i="1"/>
  <c r="I429" i="1"/>
  <c r="J55" i="1"/>
  <c r="I393" i="1"/>
  <c r="I84" i="1"/>
  <c r="J699" i="1"/>
  <c r="I196" i="1"/>
  <c r="I565" i="1"/>
  <c r="I437" i="1"/>
  <c r="I308" i="1"/>
  <c r="I734" i="1"/>
  <c r="I388" i="1"/>
  <c r="I323" i="1"/>
  <c r="I642" i="1"/>
  <c r="J711" i="1"/>
  <c r="I563" i="1"/>
  <c r="I383" i="1"/>
  <c r="I327" i="1"/>
  <c r="J71" i="1"/>
  <c r="I646" i="1"/>
  <c r="J269" i="1"/>
  <c r="I612" i="1"/>
  <c r="I474" i="1"/>
  <c r="J171" i="1"/>
  <c r="I155" i="1"/>
  <c r="I369" i="1"/>
  <c r="I193" i="1"/>
  <c r="I516" i="1"/>
  <c r="J521" i="1"/>
  <c r="I737" i="1"/>
  <c r="I116" i="1"/>
  <c r="I74" i="1"/>
  <c r="I267" i="1"/>
  <c r="J340" i="1"/>
  <c r="I570" i="1"/>
  <c r="I632" i="1"/>
  <c r="I675" i="1"/>
  <c r="I473" i="1"/>
  <c r="I373" i="1"/>
  <c r="J252" i="1"/>
  <c r="I670" i="1"/>
  <c r="I663" i="1"/>
  <c r="I659" i="1"/>
  <c r="I275" i="1"/>
  <c r="I123" i="1"/>
  <c r="I692" i="1"/>
  <c r="I527" i="1"/>
  <c r="I121" i="1"/>
  <c r="I446" i="1"/>
  <c r="I58" i="1"/>
  <c r="I61" i="1"/>
  <c r="I51" i="1"/>
  <c r="I80" i="1"/>
  <c r="I359" i="1"/>
  <c r="J511" i="1"/>
  <c r="I311" i="1"/>
  <c r="I609" i="1"/>
  <c r="I117" i="1"/>
  <c r="I158" i="1"/>
  <c r="I546" i="1"/>
  <c r="I132" i="1"/>
  <c r="I693" i="1"/>
  <c r="I345" i="1"/>
  <c r="I550" i="1"/>
  <c r="J293" i="1"/>
  <c r="J281" i="1"/>
  <c r="I17" i="1"/>
  <c r="I515" i="1"/>
  <c r="I72" i="1"/>
  <c r="I380" i="1"/>
  <c r="I221" i="1"/>
  <c r="I342" i="1"/>
  <c r="I185" i="1"/>
  <c r="I569" i="1"/>
  <c r="I472" i="1"/>
  <c r="I174" i="1"/>
  <c r="J261" i="1"/>
  <c r="I568" i="1"/>
  <c r="I416" i="1"/>
  <c r="I184" i="1"/>
  <c r="I217" i="1"/>
  <c r="I559" i="1"/>
  <c r="I415" i="1"/>
  <c r="J64" i="1"/>
  <c r="I125" i="1"/>
  <c r="I353" i="1"/>
  <c r="I10" i="1"/>
  <c r="I420" i="1"/>
  <c r="I408" i="1"/>
  <c r="J603" i="1"/>
  <c r="I651" i="1"/>
  <c r="I599" i="1"/>
  <c r="I410" i="1"/>
  <c r="I407" i="1"/>
  <c r="I418" i="1"/>
  <c r="I255" i="1"/>
  <c r="I106" i="1"/>
  <c r="I678" i="1"/>
  <c r="I352" i="1"/>
  <c r="I321" i="1"/>
  <c r="I669" i="1"/>
  <c r="I83" i="1"/>
  <c r="I733" i="1"/>
  <c r="J695" i="1"/>
  <c r="I108" i="1"/>
  <c r="I448" i="1"/>
  <c r="J146" i="1"/>
  <c r="I82" i="1"/>
  <c r="I716" i="1"/>
  <c r="I330" i="1"/>
  <c r="I299" i="1"/>
  <c r="I239" i="1"/>
  <c r="I714" i="1"/>
  <c r="I28" i="1"/>
  <c r="I265" i="1"/>
  <c r="I8" i="1"/>
  <c r="I443" i="1"/>
  <c r="I162" i="1"/>
  <c r="I459" i="1"/>
  <c r="I36" i="1"/>
  <c r="I592" i="1"/>
  <c r="I486" i="1"/>
  <c r="I245" i="1"/>
  <c r="I244" i="1"/>
  <c r="I445" i="1"/>
  <c r="I635" i="1"/>
  <c r="I622" i="1"/>
  <c r="I268" i="1"/>
  <c r="I93" i="1"/>
  <c r="I495" i="1"/>
  <c r="I197" i="1"/>
  <c r="J439" i="1"/>
  <c r="J506" i="1"/>
  <c r="I580" i="1"/>
  <c r="J285" i="1"/>
  <c r="I501" i="1"/>
  <c r="I558" i="1"/>
  <c r="I451" i="1"/>
  <c r="J457" i="1"/>
  <c r="J497" i="1"/>
  <c r="I97" i="1"/>
  <c r="I207" i="1"/>
  <c r="I593" i="1"/>
  <c r="I320" i="1"/>
  <c r="I147" i="1"/>
  <c r="I432" i="1"/>
  <c r="I426" i="1"/>
  <c r="I680" i="1"/>
  <c r="I649" i="1"/>
  <c r="I641" i="1"/>
  <c r="I681" i="1"/>
  <c r="I91" i="1"/>
  <c r="I685" i="1"/>
  <c r="I75" i="1"/>
  <c r="I673" i="1"/>
  <c r="I645" i="1"/>
  <c r="I270" i="1"/>
  <c r="I12" i="1"/>
  <c r="I725" i="1"/>
  <c r="J52" i="1"/>
  <c r="I518" i="1"/>
  <c r="I272" i="1"/>
  <c r="I729" i="1"/>
  <c r="I489" i="1"/>
  <c r="J582" i="1"/>
  <c r="I7" i="1"/>
  <c r="I381" i="1"/>
  <c r="I493" i="1"/>
  <c r="I361" i="1"/>
  <c r="I370" i="1"/>
  <c r="J512" i="1"/>
  <c r="I250" i="1"/>
  <c r="I291" i="1"/>
  <c r="I227" i="1"/>
  <c r="I403" i="1"/>
  <c r="I624" i="1"/>
  <c r="I503" i="1"/>
  <c r="I564" i="1"/>
  <c r="J137" i="1"/>
  <c r="I490" i="1"/>
  <c r="I144" i="1"/>
  <c r="I715" i="1"/>
  <c r="I199" i="1"/>
  <c r="I45" i="1"/>
  <c r="I549" i="1"/>
  <c r="I210" i="1"/>
  <c r="J605" i="1"/>
  <c r="I331" i="1"/>
  <c r="I615" i="1"/>
  <c r="I139" i="1"/>
  <c r="I637" i="1"/>
  <c r="I379" i="1"/>
  <c r="I88" i="1"/>
  <c r="I43" i="1"/>
  <c r="I263" i="1"/>
  <c r="I520" i="1"/>
  <c r="I350" i="1"/>
  <c r="I547" i="1"/>
  <c r="J73" i="1"/>
  <c r="I697" i="1"/>
  <c r="I594" i="1"/>
  <c r="I225" i="1"/>
  <c r="I421" i="1"/>
  <c r="J507" i="1"/>
  <c r="J413" i="1"/>
  <c r="J498" i="1"/>
  <c r="I466" i="1"/>
  <c r="J434" i="1"/>
  <c r="I143" i="1"/>
  <c r="I65" i="1"/>
  <c r="I69" i="1"/>
  <c r="I694" i="1"/>
  <c r="I21" i="1"/>
  <c r="I702" i="1"/>
  <c r="I713" i="1"/>
  <c r="I391" i="1"/>
  <c r="J140" i="1"/>
  <c r="I23" i="1"/>
  <c r="I16" i="1"/>
  <c r="I328" i="1"/>
  <c r="I387" i="1"/>
  <c r="J172" i="1"/>
  <c r="I433" i="1"/>
  <c r="J703" i="1"/>
  <c r="J332" i="1"/>
  <c r="I666" i="1"/>
  <c r="I688" i="1"/>
  <c r="I54" i="1"/>
  <c r="I274" i="1"/>
  <c r="I237" i="1"/>
  <c r="I492" i="1"/>
  <c r="J62" i="1"/>
  <c r="I326" i="1"/>
  <c r="I204" i="1"/>
  <c r="I431" i="1"/>
  <c r="I652" i="1"/>
  <c r="I134" i="1"/>
  <c r="I112" i="1"/>
  <c r="I262" i="1"/>
  <c r="J212" i="1"/>
  <c r="I243" i="1"/>
  <c r="I736" i="1"/>
  <c r="I579" i="1"/>
  <c r="I208" i="1"/>
  <c r="I32" i="1"/>
  <c r="I378" i="1"/>
  <c r="I672" i="1"/>
  <c r="I142" i="1"/>
  <c r="J657" i="1"/>
  <c r="I355" i="1"/>
  <c r="I731" i="1"/>
  <c r="I280" i="1"/>
  <c r="I324" i="1"/>
  <c r="I710" i="1"/>
  <c r="J576" i="1"/>
  <c r="I606" i="1"/>
  <c r="I618" i="1"/>
  <c r="I3" i="1"/>
  <c r="I226" i="1"/>
  <c r="J523" i="1"/>
  <c r="I279" i="1"/>
  <c r="I77" i="1"/>
  <c r="I287" i="1"/>
  <c r="I453" i="1"/>
  <c r="I4" i="1"/>
  <c r="I540" i="1"/>
  <c r="I468" i="1"/>
  <c r="I471" i="1"/>
  <c r="I510" i="1"/>
  <c r="I686" i="1"/>
  <c r="J608" i="1"/>
  <c r="I317" i="1"/>
  <c r="I168" i="1"/>
  <c r="I614" i="1"/>
  <c r="I682" i="1"/>
  <c r="I236" i="1"/>
  <c r="I653" i="1"/>
  <c r="I152" i="1"/>
  <c r="I195" i="1"/>
  <c r="I561" i="1"/>
  <c r="I747" i="1"/>
  <c r="I578" i="1"/>
  <c r="I395" i="1"/>
  <c r="I548" i="1"/>
  <c r="I138" i="1"/>
  <c r="I290" i="1"/>
  <c r="J531" i="1"/>
  <c r="I483" i="1"/>
  <c r="I494" i="1"/>
  <c r="I26" i="1"/>
  <c r="I617" i="1"/>
  <c r="J640" i="1"/>
  <c r="I690" i="1"/>
  <c r="I302" i="1"/>
  <c r="I246" i="1"/>
  <c r="J553" i="1"/>
  <c r="I476" i="1"/>
  <c r="J240" i="1"/>
  <c r="J385" i="1"/>
  <c r="I741" i="1"/>
  <c r="I206" i="1"/>
  <c r="I411" i="1"/>
  <c r="I704" i="1"/>
  <c r="J536" i="1"/>
  <c r="I282" i="1"/>
  <c r="I247" i="1"/>
  <c r="I628" i="1"/>
  <c r="I50" i="1"/>
  <c r="I691" i="1"/>
  <c r="J53" i="1"/>
  <c r="J15" i="1"/>
  <c r="I286" i="1"/>
  <c r="I587" i="1"/>
  <c r="I346" i="1"/>
  <c r="I209" i="1"/>
  <c r="I102" i="1"/>
  <c r="I428" i="1"/>
  <c r="I254" i="1"/>
  <c r="I190" i="1"/>
  <c r="I394" i="1"/>
  <c r="I705" i="1"/>
  <c r="I626" i="1"/>
  <c r="I509" i="1"/>
  <c r="I242" i="1"/>
  <c r="I427" i="1"/>
  <c r="I49" i="1"/>
  <c r="I638" i="1"/>
  <c r="I583" i="1"/>
  <c r="I450" i="1"/>
  <c r="I532" i="1"/>
  <c r="I660" i="1"/>
  <c r="I224" i="1"/>
  <c r="I257" i="1"/>
  <c r="I572" i="1"/>
  <c r="I333" i="1"/>
  <c r="I742" i="1"/>
  <c r="I41" i="1"/>
  <c r="I412" i="1"/>
  <c r="I271" i="1"/>
  <c r="I375" i="1"/>
  <c r="J200" i="1"/>
  <c r="I517" i="1"/>
  <c r="I508" i="1"/>
  <c r="I667" i="1"/>
  <c r="I169" i="1"/>
  <c r="I460" i="1"/>
  <c r="I166" i="1"/>
  <c r="I348" i="1"/>
  <c r="I545" i="1"/>
  <c r="I447" i="1"/>
  <c r="I535" i="1"/>
  <c r="I577" i="1"/>
  <c r="J722" i="1"/>
  <c r="I455" i="1"/>
  <c r="I164" i="1"/>
  <c r="I728" i="1"/>
  <c r="I743" i="1"/>
  <c r="I526" i="1"/>
  <c r="I730" i="1"/>
  <c r="I318" i="1"/>
  <c r="I35" i="1"/>
  <c r="I665" i="1"/>
  <c r="I249" i="1"/>
  <c r="I712" i="1"/>
  <c r="I514" i="1"/>
  <c r="I316" i="1"/>
  <c r="I396" i="1"/>
  <c r="J68" i="1"/>
  <c r="I648" i="1"/>
  <c r="I522" i="1"/>
  <c r="I458" i="1"/>
  <c r="I322" i="1"/>
  <c r="J679" i="1"/>
  <c r="I392" i="1"/>
  <c r="J44" i="1"/>
  <c r="I238" i="1"/>
  <c r="I573" i="1"/>
  <c r="I738" i="1"/>
  <c r="J301" i="1"/>
  <c r="I309" i="1"/>
  <c r="I179" i="1"/>
  <c r="I647" i="1"/>
  <c r="I130" i="1"/>
  <c r="I153" i="1"/>
  <c r="I440" i="1"/>
  <c r="I230" i="1"/>
  <c r="I220" i="1"/>
  <c r="I202" i="1"/>
  <c r="J364" i="1"/>
  <c r="I575" i="1"/>
  <c r="I424" i="1"/>
  <c r="I709" i="1"/>
  <c r="I586" i="1"/>
  <c r="I37" i="1"/>
  <c r="I470" i="1"/>
  <c r="I176" i="1"/>
  <c r="I423" i="1"/>
  <c r="I22" i="1"/>
  <c r="I235" i="1"/>
  <c r="I480" i="1"/>
  <c r="I664" i="1"/>
  <c r="J60" i="1"/>
  <c r="I435" i="1"/>
  <c r="J186" i="1"/>
  <c r="I47" i="1"/>
  <c r="I629" i="1"/>
  <c r="I334" i="1"/>
  <c r="I513" i="1"/>
  <c r="J24" i="1"/>
  <c r="I160" i="1"/>
  <c r="I154" i="1"/>
  <c r="I86" i="1"/>
  <c r="I519" i="1"/>
  <c r="I145" i="1"/>
  <c r="I201" i="1"/>
  <c r="I726" i="1"/>
  <c r="I366" i="1"/>
  <c r="J625" i="1"/>
  <c r="J182" i="1"/>
  <c r="I487" i="1"/>
  <c r="I278" i="1"/>
  <c r="I631" i="1"/>
  <c r="I141" i="1"/>
  <c r="I542" i="1"/>
  <c r="I63" i="1"/>
  <c r="I436" i="1"/>
  <c r="I223" i="1"/>
  <c r="I363" i="1"/>
  <c r="I616" i="1"/>
  <c r="J600" i="1"/>
  <c r="I400" i="1"/>
  <c r="I205" i="1"/>
  <c r="I405" i="1"/>
  <c r="I358" i="1"/>
  <c r="I402" i="1"/>
  <c r="I94" i="1"/>
  <c r="I544" i="1"/>
  <c r="I374" i="1"/>
  <c r="J485" i="1"/>
  <c r="I5" i="1"/>
  <c r="I149" i="1"/>
  <c r="I288" i="1"/>
  <c r="I284" i="1"/>
  <c r="I661" i="1"/>
  <c r="I504" i="1"/>
  <c r="I18" i="1"/>
  <c r="I173" i="1"/>
  <c r="I356" i="1"/>
  <c r="I48" i="1"/>
  <c r="I721" i="1"/>
  <c r="J634" i="1"/>
  <c r="I367" i="1"/>
  <c r="I283" i="1"/>
  <c r="I111" i="1"/>
  <c r="I100" i="1"/>
  <c r="I110" i="1"/>
  <c r="I119" i="1"/>
  <c r="I684" i="1"/>
  <c r="I595" i="1"/>
  <c r="I491" i="1"/>
  <c r="I467" i="1"/>
  <c r="J620" i="1"/>
  <c r="J303" i="1"/>
  <c r="I655" i="1"/>
  <c r="I292" i="1"/>
  <c r="I234" i="1"/>
  <c r="I109" i="1"/>
  <c r="I241" i="1"/>
  <c r="I233" i="1"/>
  <c r="I76" i="1"/>
  <c r="I13" i="1"/>
  <c r="I604" i="1"/>
  <c r="I85" i="1"/>
  <c r="J344" i="1"/>
  <c r="I216" i="1"/>
  <c r="I707" i="1"/>
  <c r="I89" i="1"/>
  <c r="I377" i="1"/>
  <c r="J454" i="1"/>
  <c r="I590" i="1"/>
  <c r="I674" i="1"/>
  <c r="J87" i="1"/>
  <c r="I101" i="1"/>
  <c r="I556" i="1"/>
  <c r="I120" i="1"/>
  <c r="I500" i="1"/>
  <c r="I683" i="1"/>
  <c r="I211" i="1"/>
  <c r="J677" i="1"/>
  <c r="I98" i="1"/>
  <c r="J104" i="1"/>
  <c r="I630" i="1"/>
  <c r="I409" i="1"/>
  <c r="I560" i="1"/>
  <c r="I347" i="1"/>
  <c r="I404" i="1"/>
  <c r="I264" i="1"/>
  <c r="I442" i="1"/>
  <c r="I430" i="1"/>
  <c r="I27" i="1"/>
  <c r="J574" i="1"/>
  <c r="J386" i="1"/>
  <c r="I462" i="1"/>
  <c r="I419" i="1"/>
  <c r="I131" i="1"/>
  <c r="J133" i="1"/>
  <c r="I360" i="1"/>
  <c r="I183" i="1"/>
  <c r="I401" i="1"/>
  <c r="I708" i="1"/>
  <c r="I336" i="1"/>
  <c r="I735" i="1"/>
  <c r="I231" i="1"/>
  <c r="I159" i="1"/>
  <c r="I297" i="1"/>
  <c r="I103" i="1"/>
  <c r="I25" i="1"/>
  <c r="I384" i="1"/>
  <c r="J627" i="1"/>
  <c r="I222" i="1"/>
  <c r="I57" i="1"/>
  <c r="I38" i="1"/>
  <c r="I469" i="1"/>
  <c r="I107" i="1"/>
  <c r="I585" i="1"/>
  <c r="I541" i="1"/>
  <c r="I259" i="1"/>
  <c r="J300" i="1"/>
  <c r="I496" i="1"/>
  <c r="I745" i="1"/>
  <c r="I161" i="1"/>
  <c r="I329" i="1"/>
  <c r="I66" i="1"/>
  <c r="I46" i="1"/>
  <c r="I214" i="1"/>
  <c r="I124" i="1"/>
  <c r="I422" i="1"/>
  <c r="I562" i="1"/>
  <c r="J219" i="1"/>
  <c r="J746" i="1"/>
  <c r="I414" i="1"/>
  <c r="I319" i="1"/>
  <c r="I335" i="1"/>
  <c r="I305" i="1"/>
  <c r="I718" i="1"/>
  <c r="I362" i="1"/>
  <c r="I30" i="1"/>
  <c r="I339" i="1"/>
  <c r="I636" i="1"/>
  <c r="J441" i="1"/>
  <c r="J9" i="1"/>
  <c r="I151" i="1"/>
  <c r="I113" i="1"/>
  <c r="I475" i="1"/>
  <c r="I343" i="1"/>
  <c r="I452" i="1"/>
  <c r="I194" i="1"/>
  <c r="I40" i="1"/>
  <c r="I543" i="1"/>
  <c r="I589" i="1"/>
  <c r="I650" i="1"/>
  <c r="I48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<sst xmlns="http://schemas.openxmlformats.org/spreadsheetml/2006/main" count="5612" uniqueCount="1255">
  <si>
    <t>transaction_id</t>
  </si>
  <si>
    <t>user_id</t>
  </si>
  <si>
    <t>date</t>
  </si>
  <si>
    <t>transaction_type</t>
  </si>
  <si>
    <t>category</t>
  </si>
  <si>
    <t>amount</t>
  </si>
  <si>
    <t>payment_mode</t>
  </si>
  <si>
    <t>location</t>
  </si>
  <si>
    <t>notes</t>
  </si>
  <si>
    <t>T4999</t>
  </si>
  <si>
    <t>U018</t>
  </si>
  <si>
    <t>Expense</t>
  </si>
  <si>
    <t>card</t>
  </si>
  <si>
    <t>Ahmedabad</t>
  </si>
  <si>
    <t>Movie tickets</t>
  </si>
  <si>
    <t>T12828</t>
  </si>
  <si>
    <t>U133</t>
  </si>
  <si>
    <t>Hyderabad</t>
  </si>
  <si>
    <t>T7403</t>
  </si>
  <si>
    <t>U091</t>
  </si>
  <si>
    <t>Income</t>
  </si>
  <si>
    <t>Freelance</t>
  </si>
  <si>
    <t>Books</t>
  </si>
  <si>
    <t>T12350</t>
  </si>
  <si>
    <t>U097</t>
  </si>
  <si>
    <t>Bank Transfer</t>
  </si>
  <si>
    <t>Electricity bill</t>
  </si>
  <si>
    <t>T7495</t>
  </si>
  <si>
    <t>U088</t>
  </si>
  <si>
    <t>10/28/2022</t>
  </si>
  <si>
    <t>entertainment</t>
  </si>
  <si>
    <t>CARD</t>
  </si>
  <si>
    <t>N/A</t>
  </si>
  <si>
    <t>T12465</t>
  </si>
  <si>
    <t>U042</t>
  </si>
  <si>
    <t>test</t>
  </si>
  <si>
    <t>T4518</t>
  </si>
  <si>
    <t>U026</t>
  </si>
  <si>
    <t>08/16/2022</t>
  </si>
  <si>
    <t>Rs.828</t>
  </si>
  <si>
    <t>Lucknow</t>
  </si>
  <si>
    <t>Uber ride</t>
  </si>
  <si>
    <t>T9824</t>
  </si>
  <si>
    <t>U061</t>
  </si>
  <si>
    <t>Salary</t>
  </si>
  <si>
    <t>T0741</t>
  </si>
  <si>
    <t>U053</t>
  </si>
  <si>
    <t>â‚¹5070</t>
  </si>
  <si>
    <t>upi</t>
  </si>
  <si>
    <t>Grocery shopping</t>
  </si>
  <si>
    <t>T12403</t>
  </si>
  <si>
    <t>U004</t>
  </si>
  <si>
    <t>Others</t>
  </si>
  <si>
    <t>UPI</t>
  </si>
  <si>
    <t>Gym membership</t>
  </si>
  <si>
    <t>T5282</t>
  </si>
  <si>
    <t>U016</t>
  </si>
  <si>
    <t>T6861</t>
  </si>
  <si>
    <t>U112</t>
  </si>
  <si>
    <t>$4262</t>
  </si>
  <si>
    <t>T9446</t>
  </si>
  <si>
    <t>U006</t>
  </si>
  <si>
    <t>06/29/2022</t>
  </si>
  <si>
    <t>T3016</t>
  </si>
  <si>
    <t>U099</t>
  </si>
  <si>
    <t>02/24/2022</t>
  </si>
  <si>
    <t>T11564</t>
  </si>
  <si>
    <t>U148</t>
  </si>
  <si>
    <t>08/28/2023</t>
  </si>
  <si>
    <t>Food</t>
  </si>
  <si>
    <t>Restaurant dinner</t>
  </si>
  <si>
    <t>T11382</t>
  </si>
  <si>
    <t>U111</t>
  </si>
  <si>
    <t>T3133</t>
  </si>
  <si>
    <t>U024</t>
  </si>
  <si>
    <t>bank transfer</t>
  </si>
  <si>
    <t>ATM withdrawal</t>
  </si>
  <si>
    <t>T1982</t>
  </si>
  <si>
    <t>U089</t>
  </si>
  <si>
    <t>T7154</t>
  </si>
  <si>
    <t>U039</t>
  </si>
  <si>
    <t>Bangalore</t>
  </si>
  <si>
    <t>misc</t>
  </si>
  <si>
    <t>T2699</t>
  </si>
  <si>
    <t>U092</t>
  </si>
  <si>
    <t>Travel</t>
  </si>
  <si>
    <t>â‚¹2553</t>
  </si>
  <si>
    <t>UPi</t>
  </si>
  <si>
    <t>Doctor consultation</t>
  </si>
  <si>
    <t>T5774</t>
  </si>
  <si>
    <t>U005</t>
  </si>
  <si>
    <t>T12850</t>
  </si>
  <si>
    <t>U076</t>
  </si>
  <si>
    <t>T5770</t>
  </si>
  <si>
    <t>U107</t>
  </si>
  <si>
    <t>T6195</t>
  </si>
  <si>
    <t>U038</t>
  </si>
  <si>
    <t>Jaipur</t>
  </si>
  <si>
    <t>T12096</t>
  </si>
  <si>
    <t>U075</t>
  </si>
  <si>
    <t>T5731</t>
  </si>
  <si>
    <t>U027</t>
  </si>
  <si>
    <t>T0909</t>
  </si>
  <si>
    <t>U013</t>
  </si>
  <si>
    <t>Entertainment</t>
  </si>
  <si>
    <t>T7565</t>
  </si>
  <si>
    <t>T1653</t>
  </si>
  <si>
    <t>T6239</t>
  </si>
  <si>
    <t>U150</t>
  </si>
  <si>
    <t>â‚¹4189</t>
  </si>
  <si>
    <t>Card</t>
  </si>
  <si>
    <t>T2849</t>
  </si>
  <si>
    <t>Investment</t>
  </si>
  <si>
    <t>Coffee</t>
  </si>
  <si>
    <t>T3127</t>
  </si>
  <si>
    <t>U023</t>
  </si>
  <si>
    <t>5107 INR</t>
  </si>
  <si>
    <t>Shopping</t>
  </si>
  <si>
    <t>T4949</t>
  </si>
  <si>
    <t>U101</t>
  </si>
  <si>
    <t>T3563</t>
  </si>
  <si>
    <t>U007</t>
  </si>
  <si>
    <t>Internet bill</t>
  </si>
  <si>
    <t>T10891</t>
  </si>
  <si>
    <t>U055</t>
  </si>
  <si>
    <t>T10872</t>
  </si>
  <si>
    <t>U080</t>
  </si>
  <si>
    <t>Delhi</t>
  </si>
  <si>
    <t>Online course</t>
  </si>
  <si>
    <t>T6786</t>
  </si>
  <si>
    <t>U017</t>
  </si>
  <si>
    <t>12/15/2022</t>
  </si>
  <si>
    <t>1380 INR</t>
  </si>
  <si>
    <t>Train ticket</t>
  </si>
  <si>
    <t>T3396</t>
  </si>
  <si>
    <t>U136</t>
  </si>
  <si>
    <t>$7619</t>
  </si>
  <si>
    <t>T1215</t>
  </si>
  <si>
    <t>Cash</t>
  </si>
  <si>
    <t>T5293</t>
  </si>
  <si>
    <t>U044</t>
  </si>
  <si>
    <t>T12220</t>
  </si>
  <si>
    <t>U122</t>
  </si>
  <si>
    <t>11/14/2023</t>
  </si>
  <si>
    <t>T2003</t>
  </si>
  <si>
    <t>U149</t>
  </si>
  <si>
    <t>04/15/2021</t>
  </si>
  <si>
    <t>T9452</t>
  </si>
  <si>
    <t>U062</t>
  </si>
  <si>
    <t>T4924</t>
  </si>
  <si>
    <t>U082</t>
  </si>
  <si>
    <t>05/25/2022</t>
  </si>
  <si>
    <t>T11911</t>
  </si>
  <si>
    <t>U069</t>
  </si>
  <si>
    <t>T11270</t>
  </si>
  <si>
    <t>U022</t>
  </si>
  <si>
    <t>T13032</t>
  </si>
  <si>
    <t>06/19/2021</t>
  </si>
  <si>
    <t>Education</t>
  </si>
  <si>
    <t>T6095</t>
  </si>
  <si>
    <t>U110</t>
  </si>
  <si>
    <t>4641 INR</t>
  </si>
  <si>
    <t>T0361</t>
  </si>
  <si>
    <t>T7314</t>
  </si>
  <si>
    <t>U103</t>
  </si>
  <si>
    <t>T11430</t>
  </si>
  <si>
    <t>U108</t>
  </si>
  <si>
    <t>Pune</t>
  </si>
  <si>
    <t>T12663</t>
  </si>
  <si>
    <t>U052</t>
  </si>
  <si>
    <t>04/15/2023</t>
  </si>
  <si>
    <t>Rent</t>
  </si>
  <si>
    <t>Upi</t>
  </si>
  <si>
    <t>T6106</t>
  </si>
  <si>
    <t>U008</t>
  </si>
  <si>
    <t>T9628</t>
  </si>
  <si>
    <t>U096</t>
  </si>
  <si>
    <t>$8380</t>
  </si>
  <si>
    <t>T1623</t>
  </si>
  <si>
    <t>Medicine</t>
  </si>
  <si>
    <t>T13765</t>
  </si>
  <si>
    <t>U034</t>
  </si>
  <si>
    <t>T10347</t>
  </si>
  <si>
    <t>T5930</t>
  </si>
  <si>
    <t>U011</t>
  </si>
  <si>
    <t>04/21/2024</t>
  </si>
  <si>
    <t>savings</t>
  </si>
  <si>
    <t>T1627</t>
  </si>
  <si>
    <t>04/18/2022</t>
  </si>
  <si>
    <t>Rs.5554</t>
  </si>
  <si>
    <t>EMI payment</t>
  </si>
  <si>
    <t>T4242</t>
  </si>
  <si>
    <t>â‚¹41573</t>
  </si>
  <si>
    <t>T12437</t>
  </si>
  <si>
    <t>T8670</t>
  </si>
  <si>
    <t>U030</t>
  </si>
  <si>
    <t>T11341</t>
  </si>
  <si>
    <t>U127</t>
  </si>
  <si>
    <t>Mumbai</t>
  </si>
  <si>
    <t>T9556</t>
  </si>
  <si>
    <t>T2449</t>
  </si>
  <si>
    <t>U028</t>
  </si>
  <si>
    <t>04/16/2022</t>
  </si>
  <si>
    <t>T4357</t>
  </si>
  <si>
    <t>cash</t>
  </si>
  <si>
    <t>T0815</t>
  </si>
  <si>
    <t>U141</t>
  </si>
  <si>
    <t>T7919</t>
  </si>
  <si>
    <t>U086</t>
  </si>
  <si>
    <t>T5695</t>
  </si>
  <si>
    <t>Petrol</t>
  </si>
  <si>
    <t>T2471</t>
  </si>
  <si>
    <t>U066</t>
  </si>
  <si>
    <t>12/23/2021</t>
  </si>
  <si>
    <t>7397 INR</t>
  </si>
  <si>
    <t>T3475</t>
  </si>
  <si>
    <t>U046</t>
  </si>
  <si>
    <t>Kolkata</t>
  </si>
  <si>
    <t>T5875</t>
  </si>
  <si>
    <t>U081</t>
  </si>
  <si>
    <t>Rs.864</t>
  </si>
  <si>
    <t>T10128</t>
  </si>
  <si>
    <t>U104</t>
  </si>
  <si>
    <t>T3491</t>
  </si>
  <si>
    <t>T2225</t>
  </si>
  <si>
    <t>T6946</t>
  </si>
  <si>
    <t>U068</t>
  </si>
  <si>
    <t>06/23/2024</t>
  </si>
  <si>
    <t>Rs.5756</t>
  </si>
  <si>
    <t>T2022</t>
  </si>
  <si>
    <t>U056</t>
  </si>
  <si>
    <t>12/20/2021</t>
  </si>
  <si>
    <t>â‚¹5576</t>
  </si>
  <si>
    <t>T13529</t>
  </si>
  <si>
    <t>U123</t>
  </si>
  <si>
    <t>T12210</t>
  </si>
  <si>
    <t>U118</t>
  </si>
  <si>
    <t>T6904</t>
  </si>
  <si>
    <t>U063</t>
  </si>
  <si>
    <t>Bonus</t>
  </si>
  <si>
    <t>T0713</t>
  </si>
  <si>
    <t>Monthly rent payment</t>
  </si>
  <si>
    <t>T7323</t>
  </si>
  <si>
    <t>U009</t>
  </si>
  <si>
    <t>T10231</t>
  </si>
  <si>
    <t>02/13/2023</t>
  </si>
  <si>
    <t>T11570</t>
  </si>
  <si>
    <t>T13926</t>
  </si>
  <si>
    <t>U134</t>
  </si>
  <si>
    <t>Utilities</t>
  </si>
  <si>
    <t>T0884</t>
  </si>
  <si>
    <t>U115</t>
  </si>
  <si>
    <t>Fixed deposit</t>
  </si>
  <si>
    <t>T5033</t>
  </si>
  <si>
    <t>U119</t>
  </si>
  <si>
    <t>Lunch</t>
  </si>
  <si>
    <t>T8492</t>
  </si>
  <si>
    <t>11/14/2024</t>
  </si>
  <si>
    <t>T4699</t>
  </si>
  <si>
    <t>U090</t>
  </si>
  <si>
    <t>â‚¹32146</t>
  </si>
  <si>
    <t>CASH</t>
  </si>
  <si>
    <t>T1841</t>
  </si>
  <si>
    <t>T3041</t>
  </si>
  <si>
    <t>T7693</t>
  </si>
  <si>
    <t>U116</t>
  </si>
  <si>
    <t>T0071</t>
  </si>
  <si>
    <t>U078</t>
  </si>
  <si>
    <t>â‚¹6141</t>
  </si>
  <si>
    <t>T12197</t>
  </si>
  <si>
    <t>T8563</t>
  </si>
  <si>
    <t>12/29/2024</t>
  </si>
  <si>
    <t>Rs.9705</t>
  </si>
  <si>
    <t>T6626</t>
  </si>
  <si>
    <t>U049</t>
  </si>
  <si>
    <t>T7302</t>
  </si>
  <si>
    <t>U102</t>
  </si>
  <si>
    <t>09/19/2024</t>
  </si>
  <si>
    <t>T6588</t>
  </si>
  <si>
    <t>U125</t>
  </si>
  <si>
    <t>T3552</t>
  </si>
  <si>
    <t>U095</t>
  </si>
  <si>
    <t>T1620</t>
  </si>
  <si>
    <t>U040</t>
  </si>
  <si>
    <t>08/30/2024</t>
  </si>
  <si>
    <t>T7912</t>
  </si>
  <si>
    <t>06/15/2022</t>
  </si>
  <si>
    <t>T3571</t>
  </si>
  <si>
    <t>U064</t>
  </si>
  <si>
    <t>T10957</t>
  </si>
  <si>
    <t>T0294</t>
  </si>
  <si>
    <t>T9414</t>
  </si>
  <si>
    <t>T10537</t>
  </si>
  <si>
    <t>U079</t>
  </si>
  <si>
    <t>T1125</t>
  </si>
  <si>
    <t>U105</t>
  </si>
  <si>
    <t>T8978</t>
  </si>
  <si>
    <t>T5936</t>
  </si>
  <si>
    <t>â‚¹6856</t>
  </si>
  <si>
    <t>Chennai</t>
  </si>
  <si>
    <t>T3751</t>
  </si>
  <si>
    <t>T0626</t>
  </si>
  <si>
    <t>T9500</t>
  </si>
  <si>
    <t>T1537</t>
  </si>
  <si>
    <t>06/25/2022</t>
  </si>
  <si>
    <t>T9185</t>
  </si>
  <si>
    <t>U117</t>
  </si>
  <si>
    <t>Rs.14249</t>
  </si>
  <si>
    <t>T7093</t>
  </si>
  <si>
    <t>T1990</t>
  </si>
  <si>
    <t>U121</t>
  </si>
  <si>
    <t>T4706</t>
  </si>
  <si>
    <t>06/13/2024</t>
  </si>
  <si>
    <t>T8416</t>
  </si>
  <si>
    <t>T11932</t>
  </si>
  <si>
    <t>U100</t>
  </si>
  <si>
    <t>T4683</t>
  </si>
  <si>
    <t>Rs.4427</t>
  </si>
  <si>
    <t>T10528</t>
  </si>
  <si>
    <t>U071</t>
  </si>
  <si>
    <t>T10806</t>
  </si>
  <si>
    <t>05/19/2024</t>
  </si>
  <si>
    <t>T10505</t>
  </si>
  <si>
    <t>T13682</t>
  </si>
  <si>
    <t>U145</t>
  </si>
  <si>
    <t>T12807</t>
  </si>
  <si>
    <t>U029</t>
  </si>
  <si>
    <t>T6557</t>
  </si>
  <si>
    <t>Rs.8305</t>
  </si>
  <si>
    <t>T0409</t>
  </si>
  <si>
    <t>U137</t>
  </si>
  <si>
    <t>T10784</t>
  </si>
  <si>
    <t>04/30/2021</t>
  </si>
  <si>
    <t>T2457</t>
  </si>
  <si>
    <t>U054</t>
  </si>
  <si>
    <t>9800 INR</t>
  </si>
  <si>
    <t>T12395</t>
  </si>
  <si>
    <t>T1882</t>
  </si>
  <si>
    <t>09/25/2022</t>
  </si>
  <si>
    <t>T13924</t>
  </si>
  <si>
    <t>U035</t>
  </si>
  <si>
    <t>08/24/2021</t>
  </si>
  <si>
    <t>T13453</t>
  </si>
  <si>
    <t>T9836</t>
  </si>
  <si>
    <t>U058</t>
  </si>
  <si>
    <t>$1863</t>
  </si>
  <si>
    <t>T13845</t>
  </si>
  <si>
    <t>06/24/2022</t>
  </si>
  <si>
    <t>T11381</t>
  </si>
  <si>
    <t>T5758</t>
  </si>
  <si>
    <t>â‚¹21771</t>
  </si>
  <si>
    <t>T12059</t>
  </si>
  <si>
    <t>U077</t>
  </si>
  <si>
    <t>$24920</t>
  </si>
  <si>
    <t>T8889</t>
  </si>
  <si>
    <t>U131</t>
  </si>
  <si>
    <t>T10327</t>
  </si>
  <si>
    <t>â‚¹4201</t>
  </si>
  <si>
    <t>T4967</t>
  </si>
  <si>
    <t>U113</t>
  </si>
  <si>
    <t>T11849</t>
  </si>
  <si>
    <t>T5167</t>
  </si>
  <si>
    <t>U014</t>
  </si>
  <si>
    <t>10/26/2021</t>
  </si>
  <si>
    <t>T3952</t>
  </si>
  <si>
    <t>U120</t>
  </si>
  <si>
    <t>08/26/2024</t>
  </si>
  <si>
    <t>T5844</t>
  </si>
  <si>
    <t>â‚¹2615</t>
  </si>
  <si>
    <t>T13040</t>
  </si>
  <si>
    <t>â‚¹2855</t>
  </si>
  <si>
    <t>T3167</t>
  </si>
  <si>
    <t>T8867</t>
  </si>
  <si>
    <t>11/14/2022</t>
  </si>
  <si>
    <t>T5926</t>
  </si>
  <si>
    <t>T13662</t>
  </si>
  <si>
    <t>U129</t>
  </si>
  <si>
    <t>10/18/2021</t>
  </si>
  <si>
    <t>T13593</t>
  </si>
  <si>
    <t>others</t>
  </si>
  <si>
    <t>T12216</t>
  </si>
  <si>
    <t>T8335</t>
  </si>
  <si>
    <t>U001</t>
  </si>
  <si>
    <t>T4933</t>
  </si>
  <si>
    <t>03/17/2021</t>
  </si>
  <si>
    <t>â‚¹8124</t>
  </si>
  <si>
    <t>T7036</t>
  </si>
  <si>
    <t>T9072</t>
  </si>
  <si>
    <t>09/26/2024</t>
  </si>
  <si>
    <t>â‚¹4328</t>
  </si>
  <si>
    <t>T8270</t>
  </si>
  <si>
    <t>T12265</t>
  </si>
  <si>
    <t>U094</t>
  </si>
  <si>
    <t>â‚¹4215</t>
  </si>
  <si>
    <t>T4637</t>
  </si>
  <si>
    <t>â‚¹6316</t>
  </si>
  <si>
    <t>T9022</t>
  </si>
  <si>
    <t>T7016</t>
  </si>
  <si>
    <t>T12109</t>
  </si>
  <si>
    <t>U144</t>
  </si>
  <si>
    <t>05/31/2023</t>
  </si>
  <si>
    <t>T9952</t>
  </si>
  <si>
    <t>U045</t>
  </si>
  <si>
    <t>T13401</t>
  </si>
  <si>
    <t>T11100</t>
  </si>
  <si>
    <t>U142</t>
  </si>
  <si>
    <t>T4072</t>
  </si>
  <si>
    <t>U067</t>
  </si>
  <si>
    <t>T8303</t>
  </si>
  <si>
    <t>T9115</t>
  </si>
  <si>
    <t>U060</t>
  </si>
  <si>
    <t>T2668</t>
  </si>
  <si>
    <t>U126</t>
  </si>
  <si>
    <t>12/30/2022</t>
  </si>
  <si>
    <t>T1256</t>
  </si>
  <si>
    <t>T7219</t>
  </si>
  <si>
    <t>U002</t>
  </si>
  <si>
    <t>T7845</t>
  </si>
  <si>
    <t>T4986</t>
  </si>
  <si>
    <t>U124</t>
  </si>
  <si>
    <t>T1883</t>
  </si>
  <si>
    <t>U047</t>
  </si>
  <si>
    <t>07/20/2024</t>
  </si>
  <si>
    <t>T7034</t>
  </si>
  <si>
    <t>03/24/2021</t>
  </si>
  <si>
    <t>T11835</t>
  </si>
  <si>
    <t>$7315</t>
  </si>
  <si>
    <t>T0231</t>
  </si>
  <si>
    <t>U031</t>
  </si>
  <si>
    <t>T2017</t>
  </si>
  <si>
    <t>T9479</t>
  </si>
  <si>
    <t>U114</t>
  </si>
  <si>
    <t>â‚¹988</t>
  </si>
  <si>
    <t>T1312</t>
  </si>
  <si>
    <t>U070</t>
  </si>
  <si>
    <t>T0010</t>
  </si>
  <si>
    <t>04/19/2024</t>
  </si>
  <si>
    <t>T11433</t>
  </si>
  <si>
    <t>U083</t>
  </si>
  <si>
    <t>T4446</t>
  </si>
  <si>
    <t>11/30/2023</t>
  </si>
  <si>
    <t>T2782</t>
  </si>
  <si>
    <t>U093</t>
  </si>
  <si>
    <t>â‚¹7849</t>
  </si>
  <si>
    <t>T11291</t>
  </si>
  <si>
    <t>T6224</t>
  </si>
  <si>
    <t>T4124</t>
  </si>
  <si>
    <t>T10115</t>
  </si>
  <si>
    <t>T3531</t>
  </si>
  <si>
    <t>T1066</t>
  </si>
  <si>
    <t>U057</t>
  </si>
  <si>
    <t>â‚¹7713</t>
  </si>
  <si>
    <t>T9037</t>
  </si>
  <si>
    <t>12/19/2022</t>
  </si>
  <si>
    <t>T12498</t>
  </si>
  <si>
    <t>U012</t>
  </si>
  <si>
    <t>T6556</t>
  </si>
  <si>
    <t>U037</t>
  </si>
  <si>
    <t>12/22/2023</t>
  </si>
  <si>
    <t>T4233</t>
  </si>
  <si>
    <t>T1925</t>
  </si>
  <si>
    <t>T9678</t>
  </si>
  <si>
    <t>03/15/2021</t>
  </si>
  <si>
    <t>T3468</t>
  </si>
  <si>
    <t>U143</t>
  </si>
  <si>
    <t>Health</t>
  </si>
  <si>
    <t>T2217</t>
  </si>
  <si>
    <t>$6756</t>
  </si>
  <si>
    <t>T7901</t>
  </si>
  <si>
    <t>T9324</t>
  </si>
  <si>
    <t>T6515</t>
  </si>
  <si>
    <t>$3790</t>
  </si>
  <si>
    <t>T3401</t>
  </si>
  <si>
    <t>T2246</t>
  </si>
  <si>
    <t>T10375</t>
  </si>
  <si>
    <t>T7960</t>
  </si>
  <si>
    <t>T13793</t>
  </si>
  <si>
    <t>09/23/2021</t>
  </si>
  <si>
    <t>T7316</t>
  </si>
  <si>
    <t>T4875</t>
  </si>
  <si>
    <t>06/16/2024</t>
  </si>
  <si>
    <t>T1216</t>
  </si>
  <si>
    <t>T11898</t>
  </si>
  <si>
    <t>T3071</t>
  </si>
  <si>
    <t>U139</t>
  </si>
  <si>
    <t>$8230</t>
  </si>
  <si>
    <t>T12468</t>
  </si>
  <si>
    <t>U043</t>
  </si>
  <si>
    <t>12/14/2024</t>
  </si>
  <si>
    <t>â‚¹5582</t>
  </si>
  <si>
    <t>T5511</t>
  </si>
  <si>
    <t>04/20/2024</t>
  </si>
  <si>
    <t>T5607</t>
  </si>
  <si>
    <t>T9770</t>
  </si>
  <si>
    <t>02/21/2021</t>
  </si>
  <si>
    <t>T11278</t>
  </si>
  <si>
    <t>T10427</t>
  </si>
  <si>
    <t>â‚¹3414</t>
  </si>
  <si>
    <t>T1377</t>
  </si>
  <si>
    <t>T2469</t>
  </si>
  <si>
    <t>T6621</t>
  </si>
  <si>
    <t>T7679</t>
  </si>
  <si>
    <t>â‚¹2274</t>
  </si>
  <si>
    <t>T8635</t>
  </si>
  <si>
    <t>T4874</t>
  </si>
  <si>
    <t>T3143</t>
  </si>
  <si>
    <t>U025</t>
  </si>
  <si>
    <t>Rs.6779</t>
  </si>
  <si>
    <t>T13475</t>
  </si>
  <si>
    <t>U033</t>
  </si>
  <si>
    <t>T8560</t>
  </si>
  <si>
    <t>T8417</t>
  </si>
  <si>
    <t>T8379</t>
  </si>
  <si>
    <t>U106</t>
  </si>
  <si>
    <t>T13913</t>
  </si>
  <si>
    <t>T11359</t>
  </si>
  <si>
    <t>U135</t>
  </si>
  <si>
    <t>T8916</t>
  </si>
  <si>
    <t>$4719</t>
  </si>
  <si>
    <t>T5752</t>
  </si>
  <si>
    <t>T11316</t>
  </si>
  <si>
    <t>T4377</t>
  </si>
  <si>
    <t>U065</t>
  </si>
  <si>
    <t>T10191</t>
  </si>
  <si>
    <t>02/26/2024</t>
  </si>
  <si>
    <t>â‚¹9750</t>
  </si>
  <si>
    <t>T10267</t>
  </si>
  <si>
    <t>U128</t>
  </si>
  <si>
    <t>T10019</t>
  </si>
  <si>
    <t>T1053</t>
  </si>
  <si>
    <t>â‚¹498</t>
  </si>
  <si>
    <t>T2960</t>
  </si>
  <si>
    <t>Rs.35588</t>
  </si>
  <si>
    <t>T5402</t>
  </si>
  <si>
    <t>$13131</t>
  </si>
  <si>
    <t>T1989</t>
  </si>
  <si>
    <t>$6321</t>
  </si>
  <si>
    <t>T7284</t>
  </si>
  <si>
    <t>08/30/2023</t>
  </si>
  <si>
    <t>T11284</t>
  </si>
  <si>
    <t>T1195</t>
  </si>
  <si>
    <t>T6008</t>
  </si>
  <si>
    <t>T11465</t>
  </si>
  <si>
    <t>03/30/2022</t>
  </si>
  <si>
    <t>T8940</t>
  </si>
  <si>
    <t>T2577</t>
  </si>
  <si>
    <t>T6064</t>
  </si>
  <si>
    <t>Rs.1078</t>
  </si>
  <si>
    <t>T1619</t>
  </si>
  <si>
    <t>â‚¹74630</t>
  </si>
  <si>
    <t>T1405</t>
  </si>
  <si>
    <t>U109</t>
  </si>
  <si>
    <t>T0352</t>
  </si>
  <si>
    <t>T5467</t>
  </si>
  <si>
    <t>T10397</t>
  </si>
  <si>
    <t>10/20/2022</t>
  </si>
  <si>
    <t>T3306</t>
  </si>
  <si>
    <t>2923 INR</t>
  </si>
  <si>
    <t>T12923</t>
  </si>
  <si>
    <t>T2497</t>
  </si>
  <si>
    <t>T12309</t>
  </si>
  <si>
    <t>T6608</t>
  </si>
  <si>
    <t>T4870</t>
  </si>
  <si>
    <t>T12187</t>
  </si>
  <si>
    <t>06/26/2024</t>
  </si>
  <si>
    <t>T13685</t>
  </si>
  <si>
    <t>T6605</t>
  </si>
  <si>
    <t>T3940</t>
  </si>
  <si>
    <t>U085</t>
  </si>
  <si>
    <t>T12289</t>
  </si>
  <si>
    <t>T12849</t>
  </si>
  <si>
    <t>04/21/2021</t>
  </si>
  <si>
    <t>T6257</t>
  </si>
  <si>
    <t>U036</t>
  </si>
  <si>
    <t>T3936</t>
  </si>
  <si>
    <t>T10279</t>
  </si>
  <si>
    <t>U087</t>
  </si>
  <si>
    <t>T11375</t>
  </si>
  <si>
    <t>â‚¹6699</t>
  </si>
  <si>
    <t>T2772</t>
  </si>
  <si>
    <t>T0177</t>
  </si>
  <si>
    <t>T3986</t>
  </si>
  <si>
    <t>â‚¹4692</t>
  </si>
  <si>
    <t>T3810</t>
  </si>
  <si>
    <t>T7155</t>
  </si>
  <si>
    <t>08/14/2022</t>
  </si>
  <si>
    <t>T8163</t>
  </si>
  <si>
    <t>T7044</t>
  </si>
  <si>
    <t>T3840</t>
  </si>
  <si>
    <t>T3774</t>
  </si>
  <si>
    <t>U020</t>
  </si>
  <si>
    <t>T3961</t>
  </si>
  <si>
    <t>T13582</t>
  </si>
  <si>
    <t>T11104</t>
  </si>
  <si>
    <t>T8714</t>
  </si>
  <si>
    <t>T2709</t>
  </si>
  <si>
    <t>U138</t>
  </si>
  <si>
    <t>T2156</t>
  </si>
  <si>
    <t>Rs.9859</t>
  </si>
  <si>
    <t>T8551</t>
  </si>
  <si>
    <t>T10622</t>
  </si>
  <si>
    <t>T9673</t>
  </si>
  <si>
    <t>10/31/2021</t>
  </si>
  <si>
    <t>Rs.28183</t>
  </si>
  <si>
    <t>T8967</t>
  </si>
  <si>
    <t>T11141</t>
  </si>
  <si>
    <t>U098</t>
  </si>
  <si>
    <t>T4430</t>
  </si>
  <si>
    <t>U147</t>
  </si>
  <si>
    <t>T11810</t>
  </si>
  <si>
    <t>12/30/2021</t>
  </si>
  <si>
    <t>T10574</t>
  </si>
  <si>
    <t>â‚¹9601</t>
  </si>
  <si>
    <t>T9406</t>
  </si>
  <si>
    <t>T2288</t>
  </si>
  <si>
    <t>T1733</t>
  </si>
  <si>
    <t>T13220</t>
  </si>
  <si>
    <t>U140</t>
  </si>
  <si>
    <t>T9379</t>
  </si>
  <si>
    <t>T0617</t>
  </si>
  <si>
    <t>T13759</t>
  </si>
  <si>
    <t>T0147</t>
  </si>
  <si>
    <t>$7135</t>
  </si>
  <si>
    <t>T4332</t>
  </si>
  <si>
    <t>T12052</t>
  </si>
  <si>
    <t>T4585</t>
  </si>
  <si>
    <t>U003</t>
  </si>
  <si>
    <t>T0859</t>
  </si>
  <si>
    <t>U132</t>
  </si>
  <si>
    <t>T6964</t>
  </si>
  <si>
    <t>T5011</t>
  </si>
  <si>
    <t>â‚¹6799</t>
  </si>
  <si>
    <t>T13370</t>
  </si>
  <si>
    <t>T1330</t>
  </si>
  <si>
    <t>â‚¹1564</t>
  </si>
  <si>
    <t>T4361</t>
  </si>
  <si>
    <t>1002 INR</t>
  </si>
  <si>
    <t>T7760</t>
  </si>
  <si>
    <t>T7501</t>
  </si>
  <si>
    <t>T13770</t>
  </si>
  <si>
    <t>T10853</t>
  </si>
  <si>
    <t>$4601</t>
  </si>
  <si>
    <t>T5130</t>
  </si>
  <si>
    <t>â‚¹46896</t>
  </si>
  <si>
    <t>T12558</t>
  </si>
  <si>
    <t>01/13/2021</t>
  </si>
  <si>
    <t>T4248</t>
  </si>
  <si>
    <t>T5305</t>
  </si>
  <si>
    <t>01/16/2023</t>
  </si>
  <si>
    <t>T6784</t>
  </si>
  <si>
    <t>T1468</t>
  </si>
  <si>
    <t>T5253</t>
  </si>
  <si>
    <t>T6241</t>
  </si>
  <si>
    <t>T4458</t>
  </si>
  <si>
    <t>04/21/2022</t>
  </si>
  <si>
    <t>T4529</t>
  </si>
  <si>
    <t>T5154</t>
  </si>
  <si>
    <t>U072</t>
  </si>
  <si>
    <t>â‚¹13183</t>
  </si>
  <si>
    <t>T10901</t>
  </si>
  <si>
    <t>â‚¹9364</t>
  </si>
  <si>
    <t>T12719</t>
  </si>
  <si>
    <t>U019</t>
  </si>
  <si>
    <t>$5042</t>
  </si>
  <si>
    <t>T6988</t>
  </si>
  <si>
    <t>T2128</t>
  </si>
  <si>
    <t>â‚¹9979</t>
  </si>
  <si>
    <t>T1182</t>
  </si>
  <si>
    <t>T4182</t>
  </si>
  <si>
    <t>T4082</t>
  </si>
  <si>
    <t>07/23/2021</t>
  </si>
  <si>
    <t>Rs.6556</t>
  </si>
  <si>
    <t>T8735</t>
  </si>
  <si>
    <t>8641 INR</t>
  </si>
  <si>
    <t>T8123</t>
  </si>
  <si>
    <t>T7895</t>
  </si>
  <si>
    <t>T10792</t>
  </si>
  <si>
    <t>T8838</t>
  </si>
  <si>
    <t>U010</t>
  </si>
  <si>
    <t>T1044</t>
  </si>
  <si>
    <t>â‚¹1810</t>
  </si>
  <si>
    <t>T8602</t>
  </si>
  <si>
    <t>$9944</t>
  </si>
  <si>
    <t>T7931</t>
  </si>
  <si>
    <t>T13820</t>
  </si>
  <si>
    <t>10/16/2023</t>
  </si>
  <si>
    <t>T0241</t>
  </si>
  <si>
    <t>$2963</t>
  </si>
  <si>
    <t>T9531</t>
  </si>
  <si>
    <t>06/15/2021</t>
  </si>
  <si>
    <t>T1003</t>
  </si>
  <si>
    <t>T5549</t>
  </si>
  <si>
    <t>T13844</t>
  </si>
  <si>
    <t>â‚¹7040</t>
  </si>
  <si>
    <t>T9591</t>
  </si>
  <si>
    <t>08/22/2022</t>
  </si>
  <si>
    <t>T5042</t>
  </si>
  <si>
    <t>T6831</t>
  </si>
  <si>
    <t>T0131</t>
  </si>
  <si>
    <t>T3349</t>
  </si>
  <si>
    <t>U130</t>
  </si>
  <si>
    <t>T5111</t>
  </si>
  <si>
    <t>U051</t>
  </si>
  <si>
    <t>T2986</t>
  </si>
  <si>
    <t>T3113</t>
  </si>
  <si>
    <t>T5430</t>
  </si>
  <si>
    <t>T13440</t>
  </si>
  <si>
    <t>T1572</t>
  </si>
  <si>
    <t>T13022</t>
  </si>
  <si>
    <t>â‚¹9245</t>
  </si>
  <si>
    <t>T3628</t>
  </si>
  <si>
    <t>T7622</t>
  </si>
  <si>
    <t>T5287</t>
  </si>
  <si>
    <t>T6525</t>
  </si>
  <si>
    <t>Rs.9714</t>
  </si>
  <si>
    <t>T11583</t>
  </si>
  <si>
    <t>T5046</t>
  </si>
  <si>
    <t>12/20/2023</t>
  </si>
  <si>
    <t>T11781</t>
  </si>
  <si>
    <t>T9393</t>
  </si>
  <si>
    <t>T1258</t>
  </si>
  <si>
    <t>T0928</t>
  </si>
  <si>
    <t>05/13/2022</t>
  </si>
  <si>
    <t>T6037</t>
  </si>
  <si>
    <t>T12742</t>
  </si>
  <si>
    <t>T7198</t>
  </si>
  <si>
    <t>01/27/2021</t>
  </si>
  <si>
    <t>T2353</t>
  </si>
  <si>
    <t>T7335</t>
  </si>
  <si>
    <t>07/26/2024</t>
  </si>
  <si>
    <t>T11646</t>
  </si>
  <si>
    <t>T7798</t>
  </si>
  <si>
    <t>â‚¹9476</t>
  </si>
  <si>
    <t>T3213</t>
  </si>
  <si>
    <t>â‚¹7070</t>
  </si>
  <si>
    <t>T10710</t>
  </si>
  <si>
    <t>T0922</t>
  </si>
  <si>
    <t>Rs.3159</t>
  </si>
  <si>
    <t>T13698</t>
  </si>
  <si>
    <t>T5592</t>
  </si>
  <si>
    <t>T2671</t>
  </si>
  <si>
    <t>T6020</t>
  </si>
  <si>
    <t>T10398</t>
  </si>
  <si>
    <t>15131 INR</t>
  </si>
  <si>
    <t>T9004</t>
  </si>
  <si>
    <t>T7005</t>
  </si>
  <si>
    <t>T12998</t>
  </si>
  <si>
    <t>U146</t>
  </si>
  <si>
    <t>T3988</t>
  </si>
  <si>
    <t>T5319</t>
  </si>
  <si>
    <t>T3862</t>
  </si>
  <si>
    <t>10/16/2022</t>
  </si>
  <si>
    <t>T5165</t>
  </si>
  <si>
    <t>T4714</t>
  </si>
  <si>
    <t>05/30/2024</t>
  </si>
  <si>
    <t>T4195</t>
  </si>
  <si>
    <t>T11757</t>
  </si>
  <si>
    <t>T10285</t>
  </si>
  <si>
    <t>01/29/2024</t>
  </si>
  <si>
    <t>Savings</t>
  </si>
  <si>
    <t>T10345</t>
  </si>
  <si>
    <t>47843 INR</t>
  </si>
  <si>
    <t>T8961</t>
  </si>
  <si>
    <t>T0428</t>
  </si>
  <si>
    <t>T9117</t>
  </si>
  <si>
    <t>05/28/2021</t>
  </si>
  <si>
    <t>T9348</t>
  </si>
  <si>
    <t>T3503</t>
  </si>
  <si>
    <t>T11648</t>
  </si>
  <si>
    <t>â‚¹56581</t>
  </si>
  <si>
    <t>T0481</t>
  </si>
  <si>
    <t>T0341</t>
  </si>
  <si>
    <t>T2248</t>
  </si>
  <si>
    <t>U048</t>
  </si>
  <si>
    <t>T3455</t>
  </si>
  <si>
    <t>09/27/2022</t>
  </si>
  <si>
    <t>T12178</t>
  </si>
  <si>
    <t>T4186</t>
  </si>
  <si>
    <t>T9132</t>
  </si>
  <si>
    <t>T2400</t>
  </si>
  <si>
    <t>T8437</t>
  </si>
  <si>
    <t>T8881</t>
  </si>
  <si>
    <t>â‚¹7838</t>
  </si>
  <si>
    <t>T10071</t>
  </si>
  <si>
    <t>09/26/2021</t>
  </si>
  <si>
    <t>T13867</t>
  </si>
  <si>
    <t>T13196</t>
  </si>
  <si>
    <t>T5099</t>
  </si>
  <si>
    <t>T1027</t>
  </si>
  <si>
    <t>03/21/2024</t>
  </si>
  <si>
    <t>T2238</t>
  </si>
  <si>
    <t>T12671</t>
  </si>
  <si>
    <t>T4155</t>
  </si>
  <si>
    <t>T8170</t>
  </si>
  <si>
    <t>â‚¹4694</t>
  </si>
  <si>
    <t>T11558</t>
  </si>
  <si>
    <t>T11219</t>
  </si>
  <si>
    <t>T13688</t>
  </si>
  <si>
    <t>T12772</t>
  </si>
  <si>
    <t>$42921</t>
  </si>
  <si>
    <t>T13289</t>
  </si>
  <si>
    <t>T9714</t>
  </si>
  <si>
    <t>562 INR</t>
  </si>
  <si>
    <t>T6767</t>
  </si>
  <si>
    <t>T12720</t>
  </si>
  <si>
    <t>Rs.6879</t>
  </si>
  <si>
    <t>T0721</t>
  </si>
  <si>
    <t>T3212</t>
  </si>
  <si>
    <t>T8580</t>
  </si>
  <si>
    <t>T11720</t>
  </si>
  <si>
    <t>â‚¹1686</t>
  </si>
  <si>
    <t>T8316</t>
  </si>
  <si>
    <t>T2817</t>
  </si>
  <si>
    <t>â‚¹3325</t>
  </si>
  <si>
    <t>T9620</t>
  </si>
  <si>
    <t>T1400</t>
  </si>
  <si>
    <t>11/25/2023</t>
  </si>
  <si>
    <t>T2220</t>
  </si>
  <si>
    <t>â‚¹33228</t>
  </si>
  <si>
    <t>T9269</t>
  </si>
  <si>
    <t>T6710</t>
  </si>
  <si>
    <t>T7206</t>
  </si>
  <si>
    <t>T7386</t>
  </si>
  <si>
    <t>T0019</t>
  </si>
  <si>
    <t>T13011</t>
  </si>
  <si>
    <t>T5686</t>
  </si>
  <si>
    <t>T13942</t>
  </si>
  <si>
    <t>T10500</t>
  </si>
  <si>
    <t>03/30/2024</t>
  </si>
  <si>
    <t>T1516</t>
  </si>
  <si>
    <t>09/23/2023</t>
  </si>
  <si>
    <t>T4498</t>
  </si>
  <si>
    <t>OTHERS</t>
  </si>
  <si>
    <t>T0053</t>
  </si>
  <si>
    <t>$6402</t>
  </si>
  <si>
    <t>T5945</t>
  </si>
  <si>
    <t>T4812</t>
  </si>
  <si>
    <t>T4854</t>
  </si>
  <si>
    <t>05/16/2024</t>
  </si>
  <si>
    <t>T5368</t>
  </si>
  <si>
    <t>T8845</t>
  </si>
  <si>
    <t>T7231</t>
  </si>
  <si>
    <t>T2058</t>
  </si>
  <si>
    <t>T12121</t>
  </si>
  <si>
    <t>Rs.887</t>
  </si>
  <si>
    <t>T7330</t>
  </si>
  <si>
    <t>T8770</t>
  </si>
  <si>
    <t>01/23/2024</t>
  </si>
  <si>
    <t>T13194</t>
  </si>
  <si>
    <t>â‚¹5391</t>
  </si>
  <si>
    <t>T8201</t>
  </si>
  <si>
    <t>T11881</t>
  </si>
  <si>
    <t>06/22/2023</t>
  </si>
  <si>
    <t>T12496</t>
  </si>
  <si>
    <t>09/28/2023</t>
  </si>
  <si>
    <t>T6321</t>
  </si>
  <si>
    <t>T9997</t>
  </si>
  <si>
    <t>06/23/2022</t>
  </si>
  <si>
    <t>T6756</t>
  </si>
  <si>
    <t>T3533</t>
  </si>
  <si>
    <t>02/28/2024</t>
  </si>
  <si>
    <t>T6023</t>
  </si>
  <si>
    <t>T11620</t>
  </si>
  <si>
    <t>05/29/2022</t>
  </si>
  <si>
    <t>T1544</t>
  </si>
  <si>
    <t>05/29/2021</t>
  </si>
  <si>
    <t>T5786</t>
  </si>
  <si>
    <t>â‚¹43818</t>
  </si>
  <si>
    <t>T4990</t>
  </si>
  <si>
    <t>02/15/2022</t>
  </si>
  <si>
    <t>T5113</t>
  </si>
  <si>
    <t>â‚¹1150</t>
  </si>
  <si>
    <t>T0591</t>
  </si>
  <si>
    <t>U021</t>
  </si>
  <si>
    <t>T7367</t>
  </si>
  <si>
    <t>04/28/2024</t>
  </si>
  <si>
    <t>T7885</t>
  </si>
  <si>
    <t>T8892</t>
  </si>
  <si>
    <t>T1799</t>
  </si>
  <si>
    <t>T13397</t>
  </si>
  <si>
    <t>T6170</t>
  </si>
  <si>
    <t>U073</t>
  </si>
  <si>
    <t>$27454</t>
  </si>
  <si>
    <t>T4918</t>
  </si>
  <si>
    <t>T13238</t>
  </si>
  <si>
    <t>U059</t>
  </si>
  <si>
    <t>01/30/2023</t>
  </si>
  <si>
    <t>â‚¹10347</t>
  </si>
  <si>
    <t>T3437</t>
  </si>
  <si>
    <t>T9845</t>
  </si>
  <si>
    <t>08/31/2022</t>
  </si>
  <si>
    <t>T12697</t>
  </si>
  <si>
    <t>T3845</t>
  </si>
  <si>
    <t>T9152</t>
  </si>
  <si>
    <t>07/25/2023</t>
  </si>
  <si>
    <t>T5889</t>
  </si>
  <si>
    <t>08/19/2024</t>
  </si>
  <si>
    <t>T1409</t>
  </si>
  <si>
    <t>T13399</t>
  </si>
  <si>
    <t>07/14/2022</t>
  </si>
  <si>
    <t>T7644</t>
  </si>
  <si>
    <t>T0997</t>
  </si>
  <si>
    <t>12/23/2023</t>
  </si>
  <si>
    <t>T8909</t>
  </si>
  <si>
    <t>9883 INR</t>
  </si>
  <si>
    <t>T10044</t>
  </si>
  <si>
    <t>T0328</t>
  </si>
  <si>
    <t>T1479</t>
  </si>
  <si>
    <t>08/20/2021</t>
  </si>
  <si>
    <t>T6902</t>
  </si>
  <si>
    <t>T2648</t>
  </si>
  <si>
    <t>T12733</t>
  </si>
  <si>
    <t>T11044</t>
  </si>
  <si>
    <t>T4115</t>
  </si>
  <si>
    <t>T13558</t>
  </si>
  <si>
    <t>1621 INR</t>
  </si>
  <si>
    <t>T12420</t>
  </si>
  <si>
    <t>T3532</t>
  </si>
  <si>
    <t>T9183</t>
  </si>
  <si>
    <t>T7634</t>
  </si>
  <si>
    <t>T5344</t>
  </si>
  <si>
    <t>T13242</t>
  </si>
  <si>
    <t>T4096</t>
  </si>
  <si>
    <t>T0987</t>
  </si>
  <si>
    <t>05/20/2024</t>
  </si>
  <si>
    <t>T7842</t>
  </si>
  <si>
    <t>T6844</t>
  </si>
  <si>
    <t>T4457</t>
  </si>
  <si>
    <t>T5843</t>
  </si>
  <si>
    <t>â‚¹4241</t>
  </si>
  <si>
    <t>T8397</t>
  </si>
  <si>
    <t>T12986</t>
  </si>
  <si>
    <t>$1889</t>
  </si>
  <si>
    <t>T1364</t>
  </si>
  <si>
    <t>T6632</t>
  </si>
  <si>
    <t>T2424</t>
  </si>
  <si>
    <t>T9900</t>
  </si>
  <si>
    <t>T0903</t>
  </si>
  <si>
    <t>T3847</t>
  </si>
  <si>
    <t>T13825</t>
  </si>
  <si>
    <t>T3164</t>
  </si>
  <si>
    <t>T12585</t>
  </si>
  <si>
    <t>32906 INR</t>
  </si>
  <si>
    <t>T5542</t>
  </si>
  <si>
    <t>T5327</t>
  </si>
  <si>
    <t>T8454</t>
  </si>
  <si>
    <t>05/24/2021</t>
  </si>
  <si>
    <t>T12124</t>
  </si>
  <si>
    <t>â‚¹9013</t>
  </si>
  <si>
    <t>T4591</t>
  </si>
  <si>
    <t>T12097</t>
  </si>
  <si>
    <t>T2661</t>
  </si>
  <si>
    <t>$9237</t>
  </si>
  <si>
    <t>T6007</t>
  </si>
  <si>
    <t>T4407</t>
  </si>
  <si>
    <t>T5887</t>
  </si>
  <si>
    <t>08/23/2021</t>
  </si>
  <si>
    <t>T6734</t>
  </si>
  <si>
    <t>T9475</t>
  </si>
  <si>
    <t>T4511</t>
  </si>
  <si>
    <t>T12067</t>
  </si>
  <si>
    <t>T9561</t>
  </si>
  <si>
    <t>T9929</t>
  </si>
  <si>
    <t>T5732</t>
  </si>
  <si>
    <t>08/16/2021</t>
  </si>
  <si>
    <t>T9603</t>
  </si>
  <si>
    <t>T2106</t>
  </si>
  <si>
    <t>T0824</t>
  </si>
  <si>
    <t>T8434</t>
  </si>
  <si>
    <t>T13434</t>
  </si>
  <si>
    <t>Rs.2954</t>
  </si>
  <si>
    <t>T9341</t>
  </si>
  <si>
    <t>10/15/2022</t>
  </si>
  <si>
    <t>T5459</t>
  </si>
  <si>
    <t>T2041</t>
  </si>
  <si>
    <t>Rs.8382</t>
  </si>
  <si>
    <t>T3551</t>
  </si>
  <si>
    <t>T10339</t>
  </si>
  <si>
    <t>â‚¹46281</t>
  </si>
  <si>
    <t>T8081</t>
  </si>
  <si>
    <t>12/14/2021</t>
  </si>
  <si>
    <t>â‚¹6566</t>
  </si>
  <si>
    <t>T5647</t>
  </si>
  <si>
    <t>â‚¹984</t>
  </si>
  <si>
    <t>T4580</t>
  </si>
  <si>
    <t>â‚¹1259</t>
  </si>
  <si>
    <t>T2200</t>
  </si>
  <si>
    <t>T8724</t>
  </si>
  <si>
    <t>U074</t>
  </si>
  <si>
    <t>09/24/2024</t>
  </si>
  <si>
    <t>â‚¹46784</t>
  </si>
  <si>
    <t>T3529</t>
  </si>
  <si>
    <t>Rs.7393</t>
  </si>
  <si>
    <t>T0924</t>
  </si>
  <si>
    <t>T13214</t>
  </si>
  <si>
    <t>â‚¹9349</t>
  </si>
  <si>
    <t>T6638</t>
  </si>
  <si>
    <t>U084</t>
  </si>
  <si>
    <t>â‚¹1868</t>
  </si>
  <si>
    <t>T9811</t>
  </si>
  <si>
    <t>T1789</t>
  </si>
  <si>
    <t>â‚¹30722</t>
  </si>
  <si>
    <t>T1978</t>
  </si>
  <si>
    <t>T1222</t>
  </si>
  <si>
    <t>â‚¹8855</t>
  </si>
  <si>
    <t>T8043</t>
  </si>
  <si>
    <t>$3954</t>
  </si>
  <si>
    <t>T11885</t>
  </si>
  <si>
    <t>T4257</t>
  </si>
  <si>
    <t>T13042</t>
  </si>
  <si>
    <t>T1288</t>
  </si>
  <si>
    <t>T12635</t>
  </si>
  <si>
    <t>T3008</t>
  </si>
  <si>
    <t>T6709</t>
  </si>
  <si>
    <t>T4064</t>
  </si>
  <si>
    <t>T9245</t>
  </si>
  <si>
    <t>U041</t>
  </si>
  <si>
    <t>T6899</t>
  </si>
  <si>
    <t>T0874</t>
  </si>
  <si>
    <t>$210</t>
  </si>
  <si>
    <t>T4836</t>
  </si>
  <si>
    <t>T12202</t>
  </si>
  <si>
    <t>T4056</t>
  </si>
  <si>
    <t>T0449</t>
  </si>
  <si>
    <t>T13189</t>
  </si>
  <si>
    <t>T4959</t>
  </si>
  <si>
    <t>T8420</t>
  </si>
  <si>
    <t>T10250</t>
  </si>
  <si>
    <t>T4214</t>
  </si>
  <si>
    <t>T12332</t>
  </si>
  <si>
    <t>T0949</t>
  </si>
  <si>
    <t>T7649</t>
  </si>
  <si>
    <t>T2428</t>
  </si>
  <si>
    <t>T5449</t>
  </si>
  <si>
    <t>T0494</t>
  </si>
  <si>
    <t>T11981</t>
  </si>
  <si>
    <t>04/26/2022</t>
  </si>
  <si>
    <t>T11887</t>
  </si>
  <si>
    <t>T10700</t>
  </si>
  <si>
    <t>11/28/2023</t>
  </si>
  <si>
    <t>T5579</t>
  </si>
  <si>
    <t>T11783</t>
  </si>
  <si>
    <t>T12587</t>
  </si>
  <si>
    <t>T9551</t>
  </si>
  <si>
    <t>T3025</t>
  </si>
  <si>
    <t>T7626</t>
  </si>
  <si>
    <t>T12272</t>
  </si>
  <si>
    <t>T5026</t>
  </si>
  <si>
    <t>07/16/2024</t>
  </si>
  <si>
    <t>T13932</t>
  </si>
  <si>
    <t>â‚¹6062</t>
  </si>
  <si>
    <t>T7669</t>
  </si>
  <si>
    <t>T1165</t>
  </si>
  <si>
    <t>T5963</t>
  </si>
  <si>
    <t>03/21/2022</t>
  </si>
  <si>
    <t>T10275</t>
  </si>
  <si>
    <t>T4226</t>
  </si>
  <si>
    <t>â‚¹1945</t>
  </si>
  <si>
    <t>T12985</t>
  </si>
  <si>
    <t>T3001</t>
  </si>
  <si>
    <t>07/14/2024</t>
  </si>
  <si>
    <t>T7356</t>
  </si>
  <si>
    <t>T7058</t>
  </si>
  <si>
    <t>T3582</t>
  </si>
  <si>
    <t>T12681</t>
  </si>
  <si>
    <t>T3707</t>
  </si>
  <si>
    <t>T2950</t>
  </si>
  <si>
    <t>T3609</t>
  </si>
  <si>
    <t>T10866</t>
  </si>
  <si>
    <t>â‚¹2811</t>
  </si>
  <si>
    <t>T5999</t>
  </si>
  <si>
    <t>T3159</t>
  </si>
  <si>
    <t>T5007</t>
  </si>
  <si>
    <t>02/28/2023</t>
  </si>
  <si>
    <t>T0060</t>
  </si>
  <si>
    <t>T11837</t>
  </si>
  <si>
    <t>T1520</t>
  </si>
  <si>
    <t>05/23/2021</t>
  </si>
  <si>
    <t>T1448</t>
  </si>
  <si>
    <t>T8400</t>
  </si>
  <si>
    <t>T5292</t>
  </si>
  <si>
    <t>Rs.7687</t>
  </si>
  <si>
    <t>T0358</t>
  </si>
  <si>
    <t>10/23/2022</t>
  </si>
  <si>
    <t>T12179</t>
  </si>
  <si>
    <t>T2843</t>
  </si>
  <si>
    <t>02/18/2022</t>
  </si>
  <si>
    <t>T0982</t>
  </si>
  <si>
    <t>$5937</t>
  </si>
  <si>
    <t>T9460</t>
  </si>
  <si>
    <t>T7743</t>
  </si>
  <si>
    <t>05/24/2022</t>
  </si>
  <si>
    <t>T3030</t>
  </si>
  <si>
    <t>T1421</t>
  </si>
  <si>
    <t>773 INR</t>
  </si>
  <si>
    <t>T11211</t>
  </si>
  <si>
    <t>T11014</t>
  </si>
  <si>
    <t>$3389</t>
  </si>
  <si>
    <t>T1121</t>
  </si>
  <si>
    <t>10/17/2023</t>
  </si>
  <si>
    <t>T11298</t>
  </si>
  <si>
    <t>T8808</t>
  </si>
  <si>
    <t>07/18/2023</t>
  </si>
  <si>
    <t>T7009</t>
  </si>
  <si>
    <t>T5062</t>
  </si>
  <si>
    <t>T4736</t>
  </si>
  <si>
    <t>$8679</t>
  </si>
  <si>
    <t>T7426</t>
  </si>
  <si>
    <t>07/15/2023</t>
  </si>
  <si>
    <t>T1835</t>
  </si>
  <si>
    <t>07/19/2023</t>
  </si>
  <si>
    <t>â‚¹12429</t>
  </si>
  <si>
    <t>T8282</t>
  </si>
  <si>
    <t>T1617</t>
  </si>
  <si>
    <t>T13174</t>
  </si>
  <si>
    <t>T11208</t>
  </si>
  <si>
    <t>T1324</t>
  </si>
  <si>
    <t>06/30/2021</t>
  </si>
  <si>
    <t>T13156</t>
  </si>
  <si>
    <t>04/24/2022</t>
  </si>
  <si>
    <t>T10465</t>
  </si>
  <si>
    <t>06/30/2022</t>
  </si>
  <si>
    <t>T0273</t>
  </si>
  <si>
    <t>T1069</t>
  </si>
  <si>
    <t>T2552</t>
  </si>
  <si>
    <t>T12833</t>
  </si>
  <si>
    <t>T9201</t>
  </si>
  <si>
    <t>T10730</t>
  </si>
  <si>
    <t>04/15/2024</t>
  </si>
  <si>
    <t>$5717</t>
  </si>
  <si>
    <t>T3185</t>
  </si>
  <si>
    <t>T4506</t>
  </si>
  <si>
    <t>T6940</t>
  </si>
  <si>
    <t>$3869</t>
  </si>
  <si>
    <t>T8627</t>
  </si>
  <si>
    <t>Rs.2837</t>
  </si>
  <si>
    <t>T10707</t>
  </si>
  <si>
    <t>T11015</t>
  </si>
  <si>
    <t>T6233</t>
  </si>
  <si>
    <t>T11312</t>
  </si>
  <si>
    <t>T5179</t>
  </si>
  <si>
    <t>U050</t>
  </si>
  <si>
    <t>â‚¹619</t>
  </si>
  <si>
    <t>T8773</t>
  </si>
  <si>
    <t>T12753</t>
  </si>
  <si>
    <t>T8713</t>
  </si>
  <si>
    <t>T1091</t>
  </si>
  <si>
    <t>$740</t>
  </si>
  <si>
    <t>T11096</t>
  </si>
  <si>
    <t>T7666</t>
  </si>
  <si>
    <t>11/27/2024</t>
  </si>
  <si>
    <t>T3826</t>
  </si>
  <si>
    <t>T6281</t>
  </si>
  <si>
    <t>â‚¹3765</t>
  </si>
  <si>
    <t>T2649</t>
  </si>
  <si>
    <t>T3645</t>
  </si>
  <si>
    <t>T13724</t>
  </si>
  <si>
    <t>T4315</t>
  </si>
  <si>
    <t>T4131</t>
  </si>
  <si>
    <t>U032</t>
  </si>
  <si>
    <t>T0599</t>
  </si>
  <si>
    <t>T6679</t>
  </si>
  <si>
    <t>T3446</t>
  </si>
  <si>
    <t>T4680</t>
  </si>
  <si>
    <t>â‚¹3207</t>
  </si>
  <si>
    <t>T3972</t>
  </si>
  <si>
    <t>T11462</t>
  </si>
  <si>
    <t>T11490</t>
  </si>
  <si>
    <t>T2973</t>
  </si>
  <si>
    <t>T12274</t>
  </si>
  <si>
    <t>T3587</t>
  </si>
  <si>
    <t>05/29/2023</t>
  </si>
  <si>
    <t>T9205</t>
  </si>
  <si>
    <t>02/24/2021</t>
  </si>
  <si>
    <t>â‚¹9644</t>
  </si>
  <si>
    <t>T2439</t>
  </si>
  <si>
    <t>T9679</t>
  </si>
  <si>
    <t>T13096</t>
  </si>
  <si>
    <t>T11952</t>
  </si>
  <si>
    <t>T1629</t>
  </si>
  <si>
    <t>T11073</t>
  </si>
  <si>
    <t>T0496</t>
  </si>
  <si>
    <t>T3419</t>
  </si>
  <si>
    <t>T7640</t>
  </si>
  <si>
    <t>â‚¹25106</t>
  </si>
  <si>
    <t>T10148</t>
  </si>
  <si>
    <t>T0881</t>
  </si>
  <si>
    <t>T4819</t>
  </si>
  <si>
    <t>T11108</t>
  </si>
  <si>
    <t>T6885</t>
  </si>
  <si>
    <t>T5946</t>
  </si>
  <si>
    <t>T13677</t>
  </si>
  <si>
    <t>05/16/2023</t>
  </si>
  <si>
    <t>T1763</t>
  </si>
  <si>
    <t>09/21/2024</t>
  </si>
  <si>
    <t>T9955</t>
  </si>
  <si>
    <t>06/27/2024</t>
  </si>
  <si>
    <t>Rs.4697</t>
  </si>
  <si>
    <t>T1203</t>
  </si>
  <si>
    <t>08/16/2023</t>
  </si>
  <si>
    <t>T2284</t>
  </si>
  <si>
    <t>T1030</t>
  </si>
  <si>
    <t>Rs.7245</t>
  </si>
  <si>
    <t>T0932</t>
  </si>
  <si>
    <t>â‚¹4258</t>
  </si>
  <si>
    <t>T12819</t>
  </si>
  <si>
    <t>T1137</t>
  </si>
  <si>
    <t>T4052</t>
  </si>
  <si>
    <t>T6325</t>
  </si>
  <si>
    <t>T12879</t>
  </si>
  <si>
    <t>T9995</t>
  </si>
  <si>
    <t>T3904</t>
  </si>
  <si>
    <t>3737 INR</t>
  </si>
  <si>
    <t>T2126</t>
  </si>
  <si>
    <t>T2433</t>
  </si>
  <si>
    <t>T1875</t>
  </si>
  <si>
    <t>05/13/2023</t>
  </si>
  <si>
    <t>T9425</t>
  </si>
  <si>
    <t>T2991</t>
  </si>
  <si>
    <t>T0651</t>
  </si>
  <si>
    <t>T2464</t>
  </si>
  <si>
    <t>T7770</t>
  </si>
  <si>
    <t>T4293</t>
  </si>
  <si>
    <t>03/27/2024</t>
  </si>
  <si>
    <t>T0163</t>
  </si>
  <si>
    <t>T11855</t>
  </si>
  <si>
    <t>08/19/2021</t>
  </si>
  <si>
    <t>T1122</t>
  </si>
  <si>
    <t>â‚¹6790</t>
  </si>
  <si>
    <t>T4911</t>
  </si>
  <si>
    <t>T2532</t>
  </si>
  <si>
    <t>T4480</t>
  </si>
  <si>
    <t>T12486</t>
  </si>
  <si>
    <t>T0896</t>
  </si>
  <si>
    <t>$3429</t>
  </si>
  <si>
    <t>T5973</t>
  </si>
  <si>
    <t>â‚¹41358</t>
  </si>
  <si>
    <t>T8131</t>
  </si>
  <si>
    <t>Rs.2358</t>
  </si>
  <si>
    <t>Expense only</t>
  </si>
  <si>
    <t>Income only</t>
  </si>
  <si>
    <t>corrected amount</t>
  </si>
  <si>
    <t>unknown</t>
  </si>
  <si>
    <t>miscellaneous</t>
  </si>
  <si>
    <t xml:space="preserve">Others </t>
  </si>
  <si>
    <t>Row Labels</t>
  </si>
  <si>
    <t>Grand Total</t>
  </si>
  <si>
    <t>Column Labels</t>
  </si>
  <si>
    <t>Sum of amount</t>
  </si>
  <si>
    <t xml:space="preserve"> </t>
  </si>
  <si>
    <t>Max of Income only</t>
  </si>
  <si>
    <t>Max of Expense only</t>
  </si>
  <si>
    <t>Kochi</t>
  </si>
  <si>
    <t>Unknowm</t>
  </si>
  <si>
    <t>date corrected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</si>
</sst>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4009]dd/mm/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center" vertical="center"/>
    </xf>
    <xf numFmtId="0" fontId="16" fillId="0" borderId="0" xfId="0" applyFont="1" applyAlignment="1">
      <alignment horizontal="center" vertical="center"/>
    </xf>
    <xf numFmtId="0" fontId="0" fillId="0" borderId="0" xfId="0" pivotButton="1"/>
    <xf numFmtId="0" fontId="0" fillId="0" borderId="0" xfId="0" applyAlignment="1">
      <alignment horizontal="left"/>
    </xf>
    <xf numFmtId="14" fontId="0" fillId="0" borderId="0" xfId="0" applyNumberFormat="1" applyAlignment="1">
      <alignment horizontal="center" vertical="center"/>
    </xf>
    <xf numFmtId="165" fontId="0" fillId="0" borderId="0" xfId="0" applyNumberForma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65" formatCode="[$-14009]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876300</xdr:colOff>
      <xdr:row>25</xdr:row>
      <xdr:rowOff>19050</xdr:rowOff>
    </xdr:from>
    <xdr:to>
      <xdr:col>3</xdr:col>
      <xdr:colOff>114300</xdr:colOff>
      <xdr:row>38</xdr:row>
      <xdr:rowOff>66675</xdr:rowOff>
    </xdr:to>
    <mc:AlternateContent xmlns:mc="http://schemas.openxmlformats.org/markup-compatibility/2006" xmlns:a14="http://schemas.microsoft.com/office/drawing/2010/main">
      <mc:Choice Requires="a14">
        <xdr:graphicFrame macro="">
          <xdr:nvGraphicFramePr>
            <xdr:cNvPr id="9" name="Date ">
              <a:extLst>
                <a:ext uri="{FF2B5EF4-FFF2-40B4-BE49-F238E27FC236}">
                  <a16:creationId xmlns:a16="http://schemas.microsoft.com/office/drawing/2014/main" id="{20FACD02-90D0-9D78-B919-416F04F7392F}"/>
                </a:ext>
              </a:extLst>
            </xdr:cNvPr>
            <xdr:cNvGraphicFramePr/>
          </xdr:nvGraphicFramePr>
          <xdr:xfrm>
            <a:off x="0" y="0"/>
            <a:ext cx="0" cy="0"/>
          </xdr:xfrm>
          <a:graphic>
            <a:graphicData uri="http://schemas.microsoft.com/office/drawing/2010/slicer">
              <sle:slicer xmlns:sle="http://schemas.microsoft.com/office/drawing/2010/slicer" name="Date "/>
            </a:graphicData>
          </a:graphic>
        </xdr:graphicFrame>
      </mc:Choice>
      <mc:Fallback xmlns="">
        <xdr:sp macro="" textlink="">
          <xdr:nvSpPr>
            <xdr:cNvPr id="0" name=""/>
            <xdr:cNvSpPr>
              <a:spLocks noTextEdit="1"/>
            </xdr:cNvSpPr>
          </xdr:nvSpPr>
          <xdr:spPr>
            <a:xfrm>
              <a:off x="876300" y="4752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5.032258217594" createdVersion="8" refreshedVersion="8" minRefreshableVersion="3" recordCount="749" xr:uid="{EDEC8541-F7A0-4DEB-9DBF-387B586ACE22}">
  <cacheSource type="worksheet">
    <worksheetSource name="Table1"/>
  </cacheSource>
  <cacheFields count="13">
    <cacheField name="transaction_id" numFmtId="0">
      <sharedItems/>
    </cacheField>
    <cacheField name="user_id" numFmtId="0">
      <sharedItems/>
    </cacheField>
    <cacheField name="date" numFmtId="0">
      <sharedItems containsDate="1" containsBlank="1" containsMixedTypes="1" minDate="2021-01-04T00:00:00" maxDate="2025-01-01T00:00:00" count="608">
        <d v="2023-04-25T00:00:00"/>
        <d v="2022-05-08T00:00:00"/>
        <d v="2023-12-31T00:00:00"/>
        <m/>
        <s v="10/28/2022"/>
        <d v="2024-11-04T00:00:00"/>
        <s v="08/16/2022"/>
        <d v="2024-12-12T00:00:00"/>
        <d v="2024-03-13T00:00:00"/>
        <d v="2023-10-11T00:00:00"/>
        <d v="2022-04-15T00:00:00"/>
        <d v="2021-04-18T00:00:00"/>
        <s v="06/29/2022"/>
        <s v="02/24/2022"/>
        <s v="08/28/2023"/>
        <d v="2023-06-02T00:00:00"/>
        <d v="2024-07-17T00:00:00"/>
        <d v="2021-02-27T00:00:00"/>
        <d v="2024-09-21T00:00:00"/>
        <d v="2023-02-25T00:00:00"/>
        <d v="2021-02-14T00:00:00"/>
        <d v="2021-09-06T00:00:00"/>
        <d v="2024-11-20T00:00:00"/>
        <d v="2023-02-04T00:00:00"/>
        <d v="2024-04-20T00:00:00"/>
        <d v="2022-01-24T00:00:00"/>
        <d v="2024-12-16T00:00:00"/>
        <d v="2021-12-28T00:00:00"/>
        <d v="2022-10-10T00:00:00"/>
        <d v="2021-05-22T00:00:00"/>
        <d v="2023-01-03T00:00:00"/>
        <d v="2021-05-05T00:00:00"/>
        <d v="2024-08-09T00:00:00"/>
        <d v="2023-02-22T00:00:00"/>
        <s v="12/15/2022"/>
        <d v="2021-09-22T00:00:00"/>
        <d v="2023-12-29T00:00:00"/>
        <d v="2021-02-23T00:00:00"/>
        <s v="11/14/2023"/>
        <s v="04/15/2021"/>
        <d v="2023-09-24T00:00:00"/>
        <s v="05/25/2022"/>
        <d v="2023-06-22T00:00:00"/>
        <d v="2023-08-09T00:00:00"/>
        <s v="06/19/2021"/>
        <d v="2024-01-11T00:00:00"/>
        <d v="2023-08-16T00:00:00"/>
        <d v="2022-02-26T00:00:00"/>
        <d v="2021-10-07T00:00:00"/>
        <s v="04/15/2023"/>
        <d v="2023-04-23T00:00:00"/>
        <d v="2024-03-22T00:00:00"/>
        <d v="2021-10-04T00:00:00"/>
        <d v="2024-05-09T00:00:00"/>
        <s v="04/21/2024"/>
        <s v="04/18/2022"/>
        <d v="2024-08-15T00:00:00"/>
        <d v="2024-01-12T00:00:00"/>
        <d v="2024-07-25T00:00:00"/>
        <d v="2024-01-17T00:00:00"/>
        <d v="2024-06-27T00:00:00"/>
        <s v="04/16/2022"/>
        <d v="2024-03-07T00:00:00"/>
        <d v="2021-10-05T00:00:00"/>
        <d v="2023-05-27T00:00:00"/>
        <d v="2023-10-22T00:00:00"/>
        <s v="12/23/2021"/>
        <d v="2022-12-10T00:00:00"/>
        <d v="2021-10-31T00:00:00"/>
        <d v="2024-09-06T00:00:00"/>
        <d v="2024-10-04T00:00:00"/>
        <d v="2023-07-06T00:00:00"/>
        <s v="06/23/2024"/>
        <s v="12/20/2021"/>
        <d v="2021-11-05T00:00:00"/>
        <d v="2022-01-25T00:00:00"/>
        <d v="2024-09-13T00:00:00"/>
        <d v="2023-08-22T00:00:00"/>
        <d v="2024-05-13T00:00:00"/>
        <s v="02/13/2023"/>
        <d v="2022-09-23T00:00:00"/>
        <d v="2024-09-16T00:00:00"/>
        <d v="2024-07-04T00:00:00"/>
        <d v="2021-12-18T00:00:00"/>
        <s v="11/14/2024"/>
        <d v="2023-07-08T00:00:00"/>
        <d v="2021-10-03T00:00:00"/>
        <d v="2021-07-11T00:00:00"/>
        <d v="2024-08-31T00:00:00"/>
        <d v="2024-04-26T00:00:00"/>
        <s v="12/29/2024"/>
        <d v="2022-08-14T00:00:00"/>
        <s v="09/19/2024"/>
        <d v="2024-01-21T00:00:00"/>
        <s v="08/30/2024"/>
        <s v="06/15/2022"/>
        <d v="2024-10-05T00:00:00"/>
        <d v="2023-06-08T00:00:00"/>
        <d v="2024-12-25T00:00:00"/>
        <d v="2023-01-08T00:00:00"/>
        <d v="2024-11-22T00:00:00"/>
        <d v="2021-06-13T00:00:00"/>
        <d v="2024-05-31T00:00:00"/>
        <d v="2024-08-19T00:00:00"/>
        <d v="2022-06-07T00:00:00"/>
        <s v="06/25/2022"/>
        <d v="2022-12-12T00:00:00"/>
        <d v="2023-03-29T00:00:00"/>
        <d v="2022-03-29T00:00:00"/>
        <s v="06/13/2024"/>
        <d v="2023-05-05T00:00:00"/>
        <d v="2023-02-10T00:00:00"/>
        <d v="2022-08-27T00:00:00"/>
        <d v="2021-11-27T00:00:00"/>
        <s v="05/19/2024"/>
        <d v="2021-06-03T00:00:00"/>
        <d v="2023-09-03T00:00:00"/>
        <d v="2021-06-05T00:00:00"/>
        <d v="2023-01-28T00:00:00"/>
        <d v="2021-02-08T00:00:00"/>
        <s v="04/30/2021"/>
        <s v="09/25/2022"/>
        <s v="08/24/2021"/>
        <d v="2024-11-05T00:00:00"/>
        <d v="2024-09-11T00:00:00"/>
        <s v="06/24/2022"/>
        <d v="2024-12-05T00:00:00"/>
        <d v="2023-04-08T00:00:00"/>
        <d v="2021-11-12T00:00:00"/>
        <d v="2021-07-01T00:00:00"/>
        <d v="2022-05-25T00:00:00"/>
        <d v="2022-02-17T00:00:00"/>
        <d v="2021-06-12T00:00:00"/>
        <s v="10/26/2021"/>
        <s v="08/26/2024"/>
        <d v="2021-04-24T00:00:00"/>
        <d v="2024-04-06T00:00:00"/>
        <d v="2021-11-28T00:00:00"/>
        <s v="11/14/2022"/>
        <d v="2024-07-13T00:00:00"/>
        <s v="10/18/2021"/>
        <d v="2024-11-03T00:00:00"/>
        <d v="2023-04-21T00:00:00"/>
        <d v="2021-06-19T00:00:00"/>
        <s v="03/17/2021"/>
        <d v="2021-12-01T00:00:00"/>
        <s v="09/26/2024"/>
        <d v="2023-04-04T00:00:00"/>
        <d v="2022-04-02T00:00:00"/>
        <d v="2023-04-11T00:00:00"/>
        <d v="2024-03-10T00:00:00"/>
        <d v="2021-01-09T00:00:00"/>
        <s v="05/31/2023"/>
        <d v="2022-12-24T00:00:00"/>
        <d v="2021-09-17T00:00:00"/>
        <d v="2021-05-06T00:00:00"/>
        <d v="2021-11-07T00:00:00"/>
        <d v="2024-05-05T00:00:00"/>
        <d v="2022-04-21T00:00:00"/>
        <s v="12/30/2022"/>
        <d v="2021-03-06T00:00:00"/>
        <d v="2024-06-28T00:00:00"/>
        <d v="2024-12-27T00:00:00"/>
        <d v="2023-07-04T00:00:00"/>
        <s v="07/20/2024"/>
        <s v="03/24/2021"/>
        <d v="2022-12-04T00:00:00"/>
        <d v="2023-08-02T00:00:00"/>
        <d v="2022-01-14T00:00:00"/>
        <d v="2021-08-14T00:00:00"/>
        <s v="04/19/2024"/>
        <d v="2021-12-10T00:00:00"/>
        <s v="11/30/2023"/>
        <d v="2021-04-01T00:00:00"/>
        <d v="2024-06-10T00:00:00"/>
        <d v="2024-04-11T00:00:00"/>
        <d v="2024-05-03T00:00:00"/>
        <d v="2022-02-23T00:00:00"/>
        <d v="2021-07-08T00:00:00"/>
        <d v="2023-02-05T00:00:00"/>
        <s v="12/19/2022"/>
        <d v="2024-03-20T00:00:00"/>
        <s v="12/22/2023"/>
        <d v="2024-10-30T00:00:00"/>
        <s v="03/15/2021"/>
        <d v="2024-09-08T00:00:00"/>
        <d v="2023-04-02T00:00:00"/>
        <d v="2021-09-07T00:00:00"/>
        <d v="2024-03-16T00:00:00"/>
        <d v="2021-07-10T00:00:00"/>
        <d v="2021-01-04T00:00:00"/>
        <d v="2023-08-06T00:00:00"/>
        <d v="2021-07-25T00:00:00"/>
        <s v="09/23/2021"/>
        <d v="2024-02-22T00:00:00"/>
        <s v="06/16/2024"/>
        <d v="2022-01-31T00:00:00"/>
        <d v="2023-04-13T00:00:00"/>
        <d v="2021-03-11T00:00:00"/>
        <s v="12/14/2024"/>
        <s v="04/20/2024"/>
        <d v="2024-05-02T00:00:00"/>
        <s v="02/21/2021"/>
        <d v="2022-07-19T00:00:00"/>
        <d v="2024-12-31T00:00:00"/>
        <d v="2022-03-31T00:00:00"/>
        <d v="2023-02-28T00:00:00"/>
        <d v="2024-12-30T00:00:00"/>
        <d v="2023-05-01T00:00:00"/>
        <d v="2022-12-01T00:00:00"/>
        <d v="2022-05-17T00:00:00"/>
        <d v="2021-10-16T00:00:00"/>
        <d v="2022-07-12T00:00:00"/>
        <d v="2024-06-04T00:00:00"/>
        <d v="2022-10-13T00:00:00"/>
        <d v="2022-05-12T00:00:00"/>
        <d v="2022-10-06T00:00:00"/>
        <d v="2022-04-05T00:00:00"/>
        <s v="02/26/2024"/>
        <d v="2021-10-19T00:00:00"/>
        <d v="2024-02-18T00:00:00"/>
        <d v="2021-08-25T00:00:00"/>
        <d v="2022-09-05T00:00:00"/>
        <d v="2021-11-02T00:00:00"/>
        <d v="2024-08-06T00:00:00"/>
        <s v="08/30/2023"/>
        <d v="2023-06-24T00:00:00"/>
        <d v="2023-05-21T00:00:00"/>
        <s v="03/30/2022"/>
        <d v="2022-07-13T00:00:00"/>
        <d v="2023-11-04T00:00:00"/>
        <d v="2021-02-16T00:00:00"/>
        <d v="2022-12-02T00:00:00"/>
        <d v="2024-08-11T00:00:00"/>
        <d v="2023-11-05T00:00:00"/>
        <s v="10/20/2022"/>
        <d v="2022-07-22T00:00:00"/>
        <d v="2023-01-09T00:00:00"/>
        <d v="2022-11-22T00:00:00"/>
        <d v="2023-12-18T00:00:00"/>
        <d v="2023-06-04T00:00:00"/>
        <s v="06/26/2024"/>
        <d v="2021-08-03T00:00:00"/>
        <d v="2023-10-17T00:00:00"/>
        <d v="2021-06-25T00:00:00"/>
        <d v="2021-12-26T00:00:00"/>
        <s v="04/21/2021"/>
        <d v="2023-02-21T00:00:00"/>
        <d v="2023-05-10T00:00:00"/>
        <d v="2021-03-13T00:00:00"/>
        <d v="2022-06-13T00:00:00"/>
        <d v="2024-12-20T00:00:00"/>
        <d v="2021-03-02T00:00:00"/>
        <s v="08/14/2022"/>
        <d v="2021-03-29T00:00:00"/>
        <d v="2022-05-18T00:00:00"/>
        <d v="2022-08-23T00:00:00"/>
        <d v="2023-09-08T00:00:00"/>
        <d v="2024-07-15T00:00:00"/>
        <d v="2021-10-26T00:00:00"/>
        <d v="2022-09-14T00:00:00"/>
        <d v="2021-06-23T00:00:00"/>
        <d v="2022-08-18T00:00:00"/>
        <d v="2022-05-11T00:00:00"/>
        <d v="2022-01-26T00:00:00"/>
        <s v="10/31/2021"/>
        <d v="2023-03-16T00:00:00"/>
        <d v="2024-07-10T00:00:00"/>
        <s v="12/30/2021"/>
        <d v="2021-10-28T00:00:00"/>
        <d v="2021-08-12T00:00:00"/>
        <d v="2021-06-14T00:00:00"/>
        <d v="2023-03-05T00:00:00"/>
        <d v="2021-11-26T00:00:00"/>
        <d v="2021-01-22T00:00:00"/>
        <d v="2021-12-27T00:00:00"/>
        <d v="2021-06-27T00:00:00"/>
        <d v="2023-11-21T00:00:00"/>
        <d v="2023-09-09T00:00:00"/>
        <d v="2024-05-21T00:00:00"/>
        <d v="2024-10-27T00:00:00"/>
        <d v="2022-04-16T00:00:00"/>
        <d v="2022-07-16T00:00:00"/>
        <d v="2021-09-23T00:00:00"/>
        <d v="2022-03-21T00:00:00"/>
        <d v="2023-03-19T00:00:00"/>
        <d v="2024-05-11T00:00:00"/>
        <d v="2023-04-28T00:00:00"/>
        <d v="2021-09-10T00:00:00"/>
        <s v="01/13/2021"/>
        <s v="01/16/2023"/>
        <d v="2021-01-12T00:00:00"/>
        <d v="2022-12-07T00:00:00"/>
        <d v="2021-08-07T00:00:00"/>
        <d v="2022-07-04T00:00:00"/>
        <s v="04/21/2022"/>
        <d v="2024-01-31T00:00:00"/>
        <d v="2024-03-11T00:00:00"/>
        <d v="2021-05-18T00:00:00"/>
        <d v="2023-07-10T00:00:00"/>
        <d v="2023-10-18T00:00:00"/>
        <d v="2024-09-20T00:00:00"/>
        <d v="2023-03-03T00:00:00"/>
        <s v="07/23/2021"/>
        <d v="2023-07-12T00:00:00"/>
        <d v="2023-05-15T00:00:00"/>
        <d v="2024-08-23T00:00:00"/>
        <d v="2021-05-15T00:00:00"/>
        <d v="2022-07-15T00:00:00"/>
        <d v="2023-07-16T00:00:00"/>
        <d v="2024-07-12T00:00:00"/>
        <s v="10/16/2023"/>
        <d v="2023-12-13T00:00:00"/>
        <s v="06/15/2021"/>
        <d v="2022-11-08T00:00:00"/>
        <d v="2021-01-30T00:00:00"/>
        <d v="2024-05-29T00:00:00"/>
        <s v="08/22/2022"/>
        <d v="2023-07-13T00:00:00"/>
        <d v="2022-05-23T00:00:00"/>
        <d v="2023-01-07T00:00:00"/>
        <d v="2022-08-02T00:00:00"/>
        <d v="2023-02-09T00:00:00"/>
        <d v="2021-03-31T00:00:00"/>
        <d v="2023-03-17T00:00:00"/>
        <d v="2022-08-12T00:00:00"/>
        <d v="2022-06-19T00:00:00"/>
        <d v="2024-06-02T00:00:00"/>
        <d v="2023-04-22T00:00:00"/>
        <d v="2024-12-07T00:00:00"/>
        <d v="2021-04-23T00:00:00"/>
        <d v="2024-10-20T00:00:00"/>
        <s v="12/20/2023"/>
        <d v="2024-08-29T00:00:00"/>
        <d v="2022-07-31T00:00:00"/>
        <d v="2022-11-14T00:00:00"/>
        <s v="05/13/2022"/>
        <d v="2024-05-10T00:00:00"/>
        <d v="2021-10-18T00:00:00"/>
        <s v="01/27/2021"/>
        <d v="2023-12-02T00:00:00"/>
        <s v="07/26/2024"/>
        <d v="2023-10-09T00:00:00"/>
        <d v="2023-03-24T00:00:00"/>
        <d v="2021-12-31T00:00:00"/>
        <d v="2022-08-03T00:00:00"/>
        <d v="2022-11-23T00:00:00"/>
        <d v="2022-11-20T00:00:00"/>
        <d v="2024-02-23T00:00:00"/>
        <d v="2023-03-10T00:00:00"/>
        <s v="10/16/2022"/>
        <s v="05/30/2024"/>
        <d v="2024-02-01T00:00:00"/>
        <s v="01/29/2024"/>
        <d v="2021-05-19T00:00:00"/>
        <d v="2021-10-09T00:00:00"/>
        <s v="05/28/2021"/>
        <d v="2022-01-29T00:00:00"/>
        <d v="2022-01-15T00:00:00"/>
        <d v="2022-04-13T00:00:00"/>
        <d v="2023-07-17T00:00:00"/>
        <d v="2024-10-12T00:00:00"/>
        <s v="09/27/2022"/>
        <d v="2022-02-02T00:00:00"/>
        <d v="2022-11-11T00:00:00"/>
        <d v="2022-08-10T00:00:00"/>
        <d v="2021-10-14T00:00:00"/>
        <d v="2024-07-20T00:00:00"/>
        <d v="2022-11-05T00:00:00"/>
        <s v="09/26/2021"/>
        <d v="2023-09-11T00:00:00"/>
        <d v="2024-06-16T00:00:00"/>
        <d v="2024-12-10T00:00:00"/>
        <s v="03/21/2024"/>
        <d v="2022-12-09T00:00:00"/>
        <d v="2021-08-02T00:00:00"/>
        <d v="2024-08-20T00:00:00"/>
        <d v="2024-12-01T00:00:00"/>
        <d v="2022-12-23T00:00:00"/>
        <d v="2022-12-25T00:00:00"/>
        <d v="2024-08-03T00:00:00"/>
        <d v="2022-02-13T00:00:00"/>
        <d v="2021-02-15T00:00:00"/>
        <d v="2024-01-10T00:00:00"/>
        <d v="2024-02-03T00:00:00"/>
        <s v="11/25/2023"/>
        <d v="2022-02-06T00:00:00"/>
        <d v="2023-12-11T00:00:00"/>
        <d v="2023-03-01T00:00:00"/>
        <d v="2021-09-08T00:00:00"/>
        <d v="2021-03-23T00:00:00"/>
        <d v="2023-06-28T00:00:00"/>
        <d v="2021-02-25T00:00:00"/>
        <d v="2022-05-06T00:00:00"/>
        <s v="03/30/2024"/>
        <s v="09/23/2023"/>
        <d v="2024-10-26T00:00:00"/>
        <d v="2022-05-09T00:00:00"/>
        <d v="2022-08-09T00:00:00"/>
        <s v="05/16/2024"/>
        <d v="2024-12-03T00:00:00"/>
        <d v="2023-11-22T00:00:00"/>
        <d v="2022-11-17T00:00:00"/>
        <d v="2021-07-23T00:00:00"/>
        <d v="2023-12-21T00:00:00"/>
        <s v="01/23/2024"/>
        <d v="2022-09-20T00:00:00"/>
        <d v="2023-12-07T00:00:00"/>
        <s v="06/22/2023"/>
        <s v="09/28/2023"/>
        <d v="2021-01-11T00:00:00"/>
        <s v="06/23/2022"/>
        <d v="2023-11-09T00:00:00"/>
        <s v="02/28/2024"/>
        <d v="2023-07-30T00:00:00"/>
        <s v="05/29/2022"/>
        <s v="05/29/2021"/>
        <s v="02/15/2022"/>
        <d v="2024-05-16T00:00:00"/>
        <d v="2023-11-01T00:00:00"/>
        <s v="04/28/2024"/>
        <d v="2021-02-24T00:00:00"/>
        <d v="2022-10-08T00:00:00"/>
        <d v="2022-05-31T00:00:00"/>
        <d v="2023-04-05T00:00:00"/>
        <d v="2021-11-06T00:00:00"/>
        <d v="2022-05-01T00:00:00"/>
        <s v="01/30/2023"/>
        <d v="2023-08-28T00:00:00"/>
        <s v="08/31/2022"/>
        <d v="2023-10-30T00:00:00"/>
        <s v="07/25/2023"/>
        <s v="08/19/2024"/>
        <d v="2021-01-08T00:00:00"/>
        <s v="07/14/2022"/>
        <d v="2022-04-26T00:00:00"/>
        <s v="12/23/2023"/>
        <d v="2022-09-06T00:00:00"/>
        <s v="08/20/2021"/>
        <d v="2023-12-14T00:00:00"/>
        <d v="2021-03-26T00:00:00"/>
        <d v="2021-04-06T00:00:00"/>
        <d v="2024-09-30T00:00:00"/>
        <d v="2023-09-10T00:00:00"/>
        <d v="2022-09-28T00:00:00"/>
        <d v="2022-01-13T00:00:00"/>
        <d v="2022-01-21T00:00:00"/>
        <d v="2022-11-13T00:00:00"/>
        <d v="2024-03-25T00:00:00"/>
        <s v="05/20/2024"/>
        <d v="2023-08-12T00:00:00"/>
        <d v="2021-05-26T00:00:00"/>
        <d v="2023-12-17T00:00:00"/>
        <d v="2021-02-17T00:00:00"/>
        <d v="2022-08-15T00:00:00"/>
        <d v="2023-12-20T00:00:00"/>
        <d v="2022-10-11T00:00:00"/>
        <d v="2024-11-17T00:00:00"/>
        <d v="2024-11-26T00:00:00"/>
        <d v="2022-03-07T00:00:00"/>
        <s v="05/24/2021"/>
        <d v="2021-04-09T00:00:00"/>
        <d v="2024-01-09T00:00:00"/>
        <d v="2022-03-04T00:00:00"/>
        <d v="2022-07-29T00:00:00"/>
        <s v="08/23/2021"/>
        <d v="2024-06-03T00:00:00"/>
        <d v="2023-06-11T00:00:00"/>
        <d v="2022-07-06T00:00:00"/>
        <d v="2022-11-03T00:00:00"/>
        <d v="2023-03-15T00:00:00"/>
        <s v="08/16/2021"/>
        <d v="2021-03-04T00:00:00"/>
        <d v="2022-05-30T00:00:00"/>
        <s v="10/15/2022"/>
        <d v="2021-08-28T00:00:00"/>
        <d v="2023-02-15T00:00:00"/>
        <d v="2023-09-23T00:00:00"/>
        <d v="2022-05-05T00:00:00"/>
        <s v="12/14/2021"/>
        <d v="2023-07-11T00:00:00"/>
        <s v="09/24/2024"/>
        <d v="2024-01-23T00:00:00"/>
        <d v="2023-09-13T00:00:00"/>
        <d v="2024-01-06T00:00:00"/>
        <d v="2022-07-28T00:00:00"/>
        <d v="2024-12-23T00:00:00"/>
        <d v="2024-07-22T00:00:00"/>
        <d v="2022-07-30T00:00:00"/>
        <d v="2021-05-24T00:00:00"/>
        <d v="2022-10-30T00:00:00"/>
        <d v="2021-07-09T00:00:00"/>
        <d v="2022-02-11T00:00:00"/>
        <d v="2021-08-24T00:00:00"/>
        <d v="2021-07-28T00:00:00"/>
        <d v="2021-03-17T00:00:00"/>
        <d v="2021-12-13T00:00:00"/>
        <d v="2023-04-30T00:00:00"/>
        <d v="2023-04-06T00:00:00"/>
        <d v="2023-10-07T00:00:00"/>
        <d v="2023-12-16T00:00:00"/>
        <d v="2023-04-19T00:00:00"/>
        <s v="04/26/2022"/>
        <d v="2023-04-15T00:00:00"/>
        <s v="11/28/2023"/>
        <d v="2023-06-06T00:00:00"/>
        <d v="2022-07-01T00:00:00"/>
        <d v="2024-02-10T00:00:00"/>
        <s v="07/16/2024"/>
        <d v="2023-08-04T00:00:00"/>
        <s v="03/21/2022"/>
        <d v="2022-06-03T00:00:00"/>
        <d v="2023-02-18T00:00:00"/>
        <s v="07/14/2024"/>
        <d v="2022-03-03T00:00:00"/>
        <d v="2021-09-14T00:00:00"/>
        <d v="2023-11-10T00:00:00"/>
        <d v="2024-07-24T00:00:00"/>
        <d v="2021-02-20T00:00:00"/>
        <d v="2021-11-04T00:00:00"/>
        <d v="2023-07-22T00:00:00"/>
        <d v="2024-10-21T00:00:00"/>
        <d v="2023-01-25T00:00:00"/>
        <s v="02/28/2023"/>
        <s v="05/23/2021"/>
        <d v="2022-05-07T00:00:00"/>
        <d v="2022-10-07T00:00:00"/>
        <d v="2022-01-27T00:00:00"/>
        <s v="10/23/2022"/>
        <s v="02/18/2022"/>
        <s v="05/24/2022"/>
        <d v="2022-06-05T00:00:00"/>
        <d v="2023-12-24T00:00:00"/>
        <d v="2021-06-01T00:00:00"/>
        <s v="10/17/2023"/>
        <d v="2021-11-11T00:00:00"/>
        <s v="07/18/2023"/>
        <d v="2024-08-10T00:00:00"/>
        <s v="07/15/2023"/>
        <s v="07/19/2023"/>
        <d v="2021-11-21T00:00:00"/>
        <d v="2021-06-11T00:00:00"/>
        <s v="06/30/2021"/>
        <s v="04/24/2022"/>
        <s v="06/30/2022"/>
        <d v="2022-09-07T00:00:00"/>
        <d v="2023-06-20T00:00:00"/>
        <d v="2022-09-27T00:00:00"/>
        <d v="2023-09-16T00:00:00"/>
        <d v="2022-09-19T00:00:00"/>
        <s v="04/15/2024"/>
        <d v="2024-04-28T00:00:00"/>
        <d v="2021-02-07T00:00:00"/>
        <d v="2021-04-22T00:00:00"/>
        <d v="2024-12-22T00:00:00"/>
        <d v="2024-02-12T00:00:00"/>
        <d v="2022-12-05T00:00:00"/>
        <d v="2021-03-27T00:00:00"/>
        <d v="2023-06-23T00:00:00"/>
        <d v="2024-08-18T00:00:00"/>
        <s v="11/27/2024"/>
        <d v="2024-03-27T00:00:00"/>
        <d v="2024-07-08T00:00:00"/>
        <d v="2022-12-27T00:00:00"/>
        <d v="2022-08-28T00:00:00"/>
        <d v="2023-02-07T00:00:00"/>
        <d v="2022-11-19T00:00:00"/>
        <d v="2022-03-10T00:00:00"/>
        <d v="2024-04-13T00:00:00"/>
        <d v="2024-01-08T00:00:00"/>
        <d v="2023-07-24T00:00:00"/>
        <s v="05/29/2023"/>
        <s v="02/24/2021"/>
        <d v="2022-02-04T00:00:00"/>
        <d v="2023-05-20T00:00:00"/>
        <d v="2021-07-03T00:00:00"/>
        <d v="2022-07-25T00:00:00"/>
        <d v="2023-01-15T00:00:00"/>
        <d v="2022-12-11T00:00:00"/>
        <d v="2023-08-10T00:00:00"/>
        <d v="2023-02-16T00:00:00"/>
        <d v="2024-03-01T00:00:00"/>
        <d v="2022-07-03T00:00:00"/>
        <d v="2022-01-20T00:00:00"/>
        <s v="05/16/2023"/>
        <s v="09/21/2024"/>
        <d v="2024-03-02T00:00:00"/>
        <s v="06/27/2024"/>
        <s v="08/16/2023"/>
        <d v="2022-01-06T00:00:00"/>
        <d v="2023-03-12T00:00:00"/>
        <d v="2023-11-12T00:00:00"/>
        <d v="2022-05-03T00:00:00"/>
        <d v="2024-12-02T00:00:00"/>
        <s v="05/13/2023"/>
        <d v="2021-04-11T00:00:00"/>
        <d v="2022-02-22T00:00:00"/>
        <s v="03/27/2024"/>
        <d v="2021-12-20T00:00:00"/>
        <s v="08/19/2021"/>
        <d v="2023-05-16T00:00:00"/>
        <d v="2022-11-30T00:00:00"/>
        <d v="2024-01-25T00:00:00"/>
        <d v="2024-11-13T00:00:00"/>
        <d v="2021-05-02T00:00:00"/>
        <d v="2021-06-07T00:00:00"/>
        <d v="2024-02-14T00:00:00"/>
        <d v="2021-03-28T00:00:00"/>
      </sharedItems>
    </cacheField>
    <cacheField name="Date " numFmtId="14">
      <sharedItems containsDate="1" containsMixedTypes="1" minDate="2021-01-04T00:00:00" maxDate="2025-01-01T00:00:00" count="570">
        <d v="2023-04-25T00:00:00"/>
        <d v="2022-05-08T00:00:00"/>
        <d v="2023-12-31T00:00:00"/>
        <s v="unknown"/>
        <d v="2022-10-28T00:00:00"/>
        <d v="2024-11-04T00:00:00"/>
        <d v="2022-08-16T00:00:00"/>
        <d v="2024-12-12T00:00:00"/>
        <d v="2024-03-13T00:00:00"/>
        <d v="2023-10-11T00:00:00"/>
        <d v="2022-04-15T00:00:00"/>
        <d v="2021-04-18T00:00:00"/>
        <d v="2022-06-29T00:00:00"/>
        <d v="2022-02-24T00:00:00"/>
        <d v="2023-08-28T00:00:00"/>
        <d v="2023-06-02T00:00:00"/>
        <d v="2024-07-17T00:00:00"/>
        <d v="2021-02-27T00:00:00"/>
        <d v="2024-09-21T00:00:00"/>
        <d v="2023-02-25T00:00:00"/>
        <d v="2021-02-14T00:00:00"/>
        <d v="2021-09-06T00:00:00"/>
        <d v="2024-11-20T00:00:00"/>
        <d v="2023-02-04T00:00:00"/>
        <d v="2024-04-20T00:00:00"/>
        <d v="2022-01-24T00:00:00"/>
        <d v="2024-12-16T00:00:00"/>
        <d v="2021-12-28T00:00:00"/>
        <d v="2022-10-10T00:00:00"/>
        <d v="2021-05-22T00:00:00"/>
        <d v="2023-01-03T00:00:00"/>
        <d v="2021-05-05T00:00:00"/>
        <d v="2024-08-09T00:00:00"/>
        <d v="2023-02-22T00:00:00"/>
        <d v="2022-12-15T00:00:00"/>
        <d v="2021-09-22T00:00:00"/>
        <d v="2023-12-29T00:00:00"/>
        <d v="2021-02-23T00:00:00"/>
        <d v="2023-11-14T00:00:00"/>
        <d v="2021-04-15T00:00:00"/>
        <d v="2023-09-24T00:00:00"/>
        <d v="2022-05-25T00:00:00"/>
        <d v="2023-06-22T00:00:00"/>
        <d v="2023-08-09T00:00:00"/>
        <d v="2021-06-19T00:00:00"/>
        <d v="2024-01-11T00:00:00"/>
        <d v="2023-08-16T00:00:00"/>
        <d v="2022-02-26T00:00:00"/>
        <d v="2021-10-07T00:00:00"/>
        <d v="2023-04-15T00:00:00"/>
        <d v="2023-04-23T00:00:00"/>
        <d v="2024-03-22T00:00:00"/>
        <d v="2021-10-04T00:00:00"/>
        <d v="2024-05-09T00:00:00"/>
        <d v="2024-04-21T00:00:00"/>
        <d v="2022-04-18T00:00:00"/>
        <d v="2024-08-15T00:00:00"/>
        <d v="2024-01-12T00:00:00"/>
        <d v="2024-07-25T00:00:00"/>
        <d v="2024-01-17T00:00:00"/>
        <d v="2024-06-27T00:00:00"/>
        <d v="2022-04-16T00:00:00"/>
        <d v="2024-03-07T00:00:00"/>
        <d v="2021-10-05T00:00:00"/>
        <d v="2023-05-27T00:00:00"/>
        <d v="2023-10-22T00:00:00"/>
        <d v="2021-12-23T00:00:00"/>
        <d v="2022-12-10T00:00:00"/>
        <d v="2021-10-31T00:00:00"/>
        <d v="2024-09-06T00:00:00"/>
        <d v="2024-10-04T00:00:00"/>
        <d v="2023-07-06T00:00:00"/>
        <d v="2024-06-23T00:00:00"/>
        <d v="2021-12-20T00:00:00"/>
        <d v="2021-11-05T00:00:00"/>
        <d v="2022-01-25T00:00:00"/>
        <d v="2024-09-13T00:00:00"/>
        <d v="2023-08-22T00:00:00"/>
        <d v="2024-05-13T00:00:00"/>
        <d v="2023-02-13T00:00:00"/>
        <d v="2022-09-23T00:00:00"/>
        <d v="2024-09-16T00:00:00"/>
        <d v="2024-07-04T00:00:00"/>
        <d v="2021-12-18T00:00:00"/>
        <d v="2024-11-14T00:00:00"/>
        <d v="2023-07-08T00:00:00"/>
        <d v="2021-10-03T00:00:00"/>
        <d v="2021-07-11T00:00:00"/>
        <d v="2024-08-31T00:00:00"/>
        <d v="2024-04-26T00:00:00"/>
        <d v="2024-12-29T00:00:00"/>
        <d v="2022-08-14T00:00:00"/>
        <d v="2024-09-19T00:00:00"/>
        <d v="2024-01-21T00:00:00"/>
        <d v="2024-08-30T00:00:00"/>
        <d v="2022-06-15T00:00:00"/>
        <d v="2024-10-05T00:00:00"/>
        <d v="2023-06-08T00:00:00"/>
        <d v="2024-12-25T00:00:00"/>
        <d v="2023-01-08T00:00:00"/>
        <d v="2024-11-22T00:00:00"/>
        <d v="2021-06-13T00:00:00"/>
        <d v="2024-05-31T00:00:00"/>
        <d v="2024-08-19T00:00:00"/>
        <d v="2022-06-07T00:00:00"/>
        <d v="2022-06-25T00:00:00"/>
        <d v="2022-12-12T00:00:00"/>
        <d v="2023-03-29T00:00:00"/>
        <d v="2022-03-29T00:00:00"/>
        <d v="2024-06-13T00:00:00"/>
        <d v="2023-05-05T00:00:00"/>
        <d v="2023-02-10T00:00:00"/>
        <d v="2022-08-27T00:00:00"/>
        <d v="2021-11-27T00:00:00"/>
        <d v="2024-05-19T00:00:00"/>
        <d v="2021-06-03T00:00:00"/>
        <d v="2023-09-03T00:00:00"/>
        <d v="2021-06-05T00:00:00"/>
        <d v="2023-01-28T00:00:00"/>
        <d v="2021-02-08T00:00:00"/>
        <d v="2021-04-30T00:00:00"/>
        <d v="2022-09-25T00:00:00"/>
        <d v="2021-08-24T00:00:00"/>
        <d v="2024-11-05T00:00:00"/>
        <d v="2024-09-11T00:00:00"/>
        <d v="2022-06-24T00:00:00"/>
        <d v="2024-12-05T00:00:00"/>
        <d v="2023-04-08T00:00:00"/>
        <d v="2021-11-12T00:00:00"/>
        <d v="2021-07-01T00:00:00"/>
        <d v="2022-02-17T00:00:00"/>
        <d v="2021-06-12T00:00:00"/>
        <d v="2021-10-26T00:00:00"/>
        <d v="2024-08-26T00:00:00"/>
        <d v="2021-04-24T00:00:00"/>
        <d v="2024-04-06T00:00:00"/>
        <d v="2021-11-28T00:00:00"/>
        <d v="2022-11-14T00:00:00"/>
        <d v="2024-07-13T00:00:00"/>
        <d v="2021-10-18T00:00:00"/>
        <d v="2024-11-03T00:00:00"/>
        <d v="2023-04-21T00:00:00"/>
        <d v="2021-03-17T00:00:00"/>
        <d v="2021-12-01T00:00:00"/>
        <d v="2024-09-26T00:00:00"/>
        <d v="2023-04-04T00:00:00"/>
        <d v="2022-04-02T00:00:00"/>
        <d v="2023-04-11T00:00:00"/>
        <d v="2024-03-10T00:00:00"/>
        <d v="2021-01-09T00:00:00"/>
        <d v="2023-05-31T00:00:00"/>
        <d v="2022-12-24T00:00:00"/>
        <d v="2021-09-17T00:00:00"/>
        <d v="2021-05-06T00:00:00"/>
        <d v="2021-11-07T00:00:00"/>
        <d v="2024-05-05T00:00:00"/>
        <d v="2022-04-21T00:00:00"/>
        <d v="2022-12-30T00:00:00"/>
        <d v="2021-03-06T00:00:00"/>
        <d v="2024-06-28T00:00:00"/>
        <d v="2024-12-27T00:00:00"/>
        <d v="2023-07-04T00:00:00"/>
        <d v="2024-07-20T00:00:00"/>
        <d v="2021-03-24T00:00:00"/>
        <d v="2022-12-04T00:00:00"/>
        <d v="2023-08-02T00:00:00"/>
        <d v="2022-01-14T00:00:00"/>
        <d v="2021-08-14T00:00:00"/>
        <d v="2024-04-19T00:00:00"/>
        <d v="2021-12-10T00:00:00"/>
        <d v="2023-11-30T00:00:00"/>
        <d v="2021-04-01T00:00:00"/>
        <d v="2024-06-10T00:00:00"/>
        <d v="2024-04-11T00:00:00"/>
        <d v="2024-05-03T00:00:00"/>
        <d v="2022-02-23T00:00:00"/>
        <d v="2021-07-08T00:00:00"/>
        <d v="2023-02-05T00:00:00"/>
        <d v="2022-12-19T00:00:00"/>
        <d v="2024-03-20T00:00:00"/>
        <d v="2023-12-22T00:00:00"/>
        <d v="2024-10-30T00:00:00"/>
        <d v="2021-03-15T00:00:00"/>
        <d v="2024-09-08T00:00:00"/>
        <d v="2023-04-02T00:00:00"/>
        <d v="2021-09-07T00:00:00"/>
        <d v="2024-03-16T00:00:00"/>
        <d v="2021-07-10T00:00:00"/>
        <d v="2021-01-04T00:00:00"/>
        <d v="2023-08-06T00:00:00"/>
        <d v="2021-07-25T00:00:00"/>
        <d v="2021-09-23T00:00:00"/>
        <d v="2024-02-22T00:00:00"/>
        <d v="2024-06-16T00:00:00"/>
        <d v="2022-01-31T00:00:00"/>
        <d v="2023-04-13T00:00:00"/>
        <d v="2021-03-11T00:00:00"/>
        <d v="2024-12-14T00:00:00"/>
        <d v="2024-05-02T00:00:00"/>
        <d v="2021-02-21T00:00:00"/>
        <d v="2022-07-19T00:00:00"/>
        <d v="2024-12-31T00:00:00"/>
        <d v="2022-03-31T00:00:00"/>
        <d v="2023-02-28T00:00:00"/>
        <d v="2024-12-30T00:00:00"/>
        <d v="2023-05-01T00:00:00"/>
        <d v="2022-12-01T00:00:00"/>
        <d v="2022-05-17T00:00:00"/>
        <d v="2021-10-16T00:00:00"/>
        <d v="2022-07-12T00:00:00"/>
        <d v="2024-06-04T00:00:00"/>
        <d v="2022-10-13T00:00:00"/>
        <d v="2022-05-12T00:00:00"/>
        <d v="2022-10-06T00:00:00"/>
        <d v="2022-04-05T00:00:00"/>
        <d v="2024-02-26T00:00:00"/>
        <d v="2021-10-19T00:00:00"/>
        <d v="2024-02-18T00:00:00"/>
        <d v="2021-08-25T00:00:00"/>
        <d v="2022-09-05T00:00:00"/>
        <d v="2021-11-02T00:00:00"/>
        <d v="2024-08-06T00:00:00"/>
        <d v="2023-08-30T00:00:00"/>
        <d v="2023-06-24T00:00:00"/>
        <d v="2023-05-21T00:00:00"/>
        <d v="2022-03-30T00:00:00"/>
        <d v="2022-07-13T00:00:00"/>
        <d v="2023-11-04T00:00:00"/>
        <d v="2021-02-16T00:00:00"/>
        <d v="2022-12-02T00:00:00"/>
        <d v="2024-08-11T00:00:00"/>
        <d v="2023-11-05T00:00:00"/>
        <d v="2022-10-20T00:00:00"/>
        <d v="2022-07-22T00:00:00"/>
        <d v="2023-01-09T00:00:00"/>
        <d v="2022-11-22T00:00:00"/>
        <d v="2023-12-18T00:00:00"/>
        <d v="2023-06-04T00:00:00"/>
        <d v="2024-06-26T00:00:00"/>
        <d v="2021-08-03T00:00:00"/>
        <d v="2023-10-17T00:00:00"/>
        <d v="2021-06-25T00:00:00"/>
        <d v="2021-12-26T00:00:00"/>
        <d v="2021-04-21T00:00:00"/>
        <d v="2023-02-21T00:00:00"/>
        <d v="2023-05-10T00:00:00"/>
        <d v="2021-03-13T00:00:00"/>
        <d v="2022-06-13T00:00:00"/>
        <d v="2024-12-20T00:00:00"/>
        <d v="2021-03-02T00:00:00"/>
        <d v="2021-03-29T00:00:00"/>
        <d v="2022-05-18T00:00:00"/>
        <d v="2022-08-23T00:00:00"/>
        <d v="2023-09-08T00:00:00"/>
        <d v="2024-07-15T00:00:00"/>
        <d v="2022-09-14T00:00:00"/>
        <d v="2021-06-23T00:00:00"/>
        <d v="2022-08-18T00:00:00"/>
        <d v="2022-05-11T00:00:00"/>
        <d v="2022-01-26T00:00:00"/>
        <d v="2023-03-16T00:00:00"/>
        <d v="2024-07-10T00:00:00"/>
        <d v="2021-12-30T00:00:00"/>
        <d v="2021-10-28T00:00:00"/>
        <d v="2021-08-12T00:00:00"/>
        <d v="2021-06-14T00:00:00"/>
        <d v="2023-03-05T00:00:00"/>
        <d v="2021-11-26T00:00:00"/>
        <d v="2021-01-22T00:00:00"/>
        <d v="2021-12-27T00:00:00"/>
        <d v="2021-06-27T00:00:00"/>
        <d v="2023-11-21T00:00:00"/>
        <d v="2023-09-09T00:00:00"/>
        <d v="2024-05-21T00:00:00"/>
        <d v="2024-10-27T00:00:00"/>
        <d v="2022-07-16T00:00:00"/>
        <d v="2022-03-21T00:00:00"/>
        <d v="2023-03-19T00:00:00"/>
        <d v="2024-05-11T00:00:00"/>
        <d v="2023-04-28T00:00:00"/>
        <d v="2021-09-10T00:00:00"/>
        <d v="2021-01-13T00:00:00"/>
        <d v="2023-01-16T00:00:00"/>
        <d v="2021-01-12T00:00:00"/>
        <d v="2022-12-07T00:00:00"/>
        <d v="2021-08-07T00:00:00"/>
        <d v="2022-07-04T00:00:00"/>
        <d v="2024-01-31T00:00:00"/>
        <d v="2024-03-11T00:00:00"/>
        <d v="2021-05-18T00:00:00"/>
        <d v="2023-07-10T00:00:00"/>
        <d v="2023-10-18T00:00:00"/>
        <d v="2024-09-20T00:00:00"/>
        <d v="2023-03-03T00:00:00"/>
        <d v="2021-07-23T00:00:00"/>
        <d v="2023-07-12T00:00:00"/>
        <d v="2023-05-15T00:00:00"/>
        <d v="2024-08-23T00:00:00"/>
        <d v="2021-05-15T00:00:00"/>
        <d v="2022-07-15T00:00:00"/>
        <d v="2023-07-16T00:00:00"/>
        <d v="2024-07-12T00:00:00"/>
        <d v="2023-10-16T00:00:00"/>
        <d v="2023-12-13T00:00:00"/>
        <d v="2021-06-15T00:00:00"/>
        <d v="2022-11-08T00:00:00"/>
        <d v="2021-01-30T00:00:00"/>
        <d v="2024-05-29T00:00:00"/>
        <d v="2022-08-22T00:00:00"/>
        <d v="2023-07-13T00:00:00"/>
        <d v="2022-05-23T00:00:00"/>
        <d v="2023-01-07T00:00:00"/>
        <d v="2022-08-02T00:00:00"/>
        <d v="2023-02-09T00:00:00"/>
        <d v="2021-03-31T00:00:00"/>
        <d v="2023-03-17T00:00:00"/>
        <d v="2022-08-12T00:00:00"/>
        <d v="2022-06-19T00:00:00"/>
        <d v="2024-06-02T00:00:00"/>
        <d v="2023-04-22T00:00:00"/>
        <d v="2024-12-07T00:00:00"/>
        <d v="2021-04-23T00:00:00"/>
        <d v="2024-10-20T00:00:00"/>
        <d v="2023-12-20T00:00:00"/>
        <d v="2024-08-29T00:00:00"/>
        <d v="2022-07-31T00:00:00"/>
        <d v="2022-05-13T00:00:00"/>
        <d v="2024-05-10T00:00:00"/>
        <d v="2021-01-27T00:00:00"/>
        <d v="2023-12-02T00:00:00"/>
        <d v="2024-07-26T00:00:00"/>
        <d v="2023-10-09T00:00:00"/>
        <d v="2023-03-24T00:00:00"/>
        <d v="2021-12-31T00:00:00"/>
        <d v="2022-08-03T00:00:00"/>
        <d v="2022-11-23T00:00:00"/>
        <d v="2022-11-20T00:00:00"/>
        <d v="2024-02-23T00:00:00"/>
        <d v="2023-03-10T00:00:00"/>
        <d v="2022-10-16T00:00:00"/>
        <d v="2024-05-30T00:00:00"/>
        <d v="2024-02-01T00:00:00"/>
        <d v="2024-01-29T00:00:00"/>
        <d v="2021-05-19T00:00:00"/>
        <d v="2021-10-09T00:00:00"/>
        <d v="2021-05-28T00:00:00"/>
        <d v="2022-01-29T00:00:00"/>
        <d v="2022-01-15T00:00:00"/>
        <d v="2022-04-13T00:00:00"/>
        <d v="2023-07-17T00:00:00"/>
        <d v="2024-10-12T00:00:00"/>
        <d v="2022-09-27T00:00:00"/>
        <d v="2022-02-02T00:00:00"/>
        <d v="2022-11-11T00:00:00"/>
        <d v="2022-08-10T00:00:00"/>
        <d v="2021-10-14T00:00:00"/>
        <d v="2022-11-05T00:00:00"/>
        <d v="2021-09-26T00:00:00"/>
        <d v="2023-09-11T00:00:00"/>
        <d v="2024-12-10T00:00:00"/>
        <d v="2024-03-21T00:00:00"/>
        <d v="2022-12-09T00:00:00"/>
        <d v="2021-08-02T00:00:00"/>
        <d v="2024-08-20T00:00:00"/>
        <d v="2024-12-01T00:00:00"/>
        <d v="2022-12-23T00:00:00"/>
        <d v="2022-12-25T00:00:00"/>
        <d v="2024-08-03T00:00:00"/>
        <d v="2022-02-13T00:00:00"/>
        <d v="2021-02-15T00:00:00"/>
        <d v="2024-01-10T00:00:00"/>
        <d v="2024-02-03T00:00:00"/>
        <d v="2023-11-25T00:00:00"/>
        <d v="2022-02-06T00:00:00"/>
        <d v="2023-12-11T00:00:00"/>
        <d v="2023-03-01T00:00:00"/>
        <d v="2021-09-08T00:00:00"/>
        <d v="2021-03-23T00:00:00"/>
        <d v="2023-06-28T00:00:00"/>
        <d v="2021-02-25T00:00:00"/>
        <d v="2022-05-06T00:00:00"/>
        <d v="2024-03-30T00:00:00"/>
        <d v="2023-09-23T00:00:00"/>
        <d v="2024-10-26T00:00:00"/>
        <d v="2022-05-09T00:00:00"/>
        <d v="2022-08-09T00:00:00"/>
        <d v="2024-05-16T00:00:00"/>
        <d v="2024-12-03T00:00:00"/>
        <d v="2023-11-22T00:00:00"/>
        <d v="2022-11-17T00:00:00"/>
        <d v="2023-12-21T00:00:00"/>
        <d v="2024-01-23T00:00:00"/>
        <d v="2022-09-20T00:00:00"/>
        <d v="2023-12-07T00:00:00"/>
        <d v="2023-09-28T00:00:00"/>
        <d v="2021-01-11T00:00:00"/>
        <d v="2022-06-23T00:00:00"/>
        <d v="2023-11-09T00:00:00"/>
        <d v="2024-02-28T00:00:00"/>
        <d v="2023-07-30T00:00:00"/>
        <d v="2022-05-29T00:00:00"/>
        <d v="2021-05-29T00:00:00"/>
        <d v="2022-02-15T00:00:00"/>
        <d v="2023-11-01T00:00:00"/>
        <d v="2024-04-28T00:00:00"/>
        <d v="2021-02-24T00:00:00"/>
        <d v="2022-10-08T00:00:00"/>
        <d v="2022-05-31T00:00:00"/>
        <d v="2023-04-05T00:00:00"/>
        <d v="2021-11-06T00:00:00"/>
        <d v="2022-05-01T00:00:00"/>
        <d v="2023-01-30T00:00:00"/>
        <d v="2022-08-31T00:00:00"/>
        <d v="2023-10-30T00:00:00"/>
        <d v="2023-07-25T00:00:00"/>
        <d v="2021-01-08T00:00:00"/>
        <d v="2022-07-14T00:00:00"/>
        <d v="2022-04-26T00:00:00"/>
        <d v="2023-12-23T00:00:00"/>
        <d v="2022-09-06T00:00:00"/>
        <d v="2021-08-20T00:00:00"/>
        <d v="2023-12-14T00:00:00"/>
        <d v="2021-03-26T00:00:00"/>
        <d v="2021-04-06T00:00:00"/>
        <d v="2024-09-30T00:00:00"/>
        <d v="2023-09-10T00:00:00"/>
        <d v="2022-09-28T00:00:00"/>
        <d v="2022-01-13T00:00:00"/>
        <d v="2022-01-21T00:00:00"/>
        <d v="2022-11-13T00:00:00"/>
        <d v="2024-03-25T00:00:00"/>
        <d v="2024-05-20T00:00:00"/>
        <d v="2023-08-12T00:00:00"/>
        <d v="2021-05-26T00:00:00"/>
        <d v="2023-12-17T00:00:00"/>
        <d v="2021-02-17T00:00:00"/>
        <d v="2022-08-15T00:00:00"/>
        <d v="2022-10-11T00:00:00"/>
        <d v="2024-11-17T00:00:00"/>
        <d v="2024-11-26T00:00:00"/>
        <d v="2022-03-07T00:00:00"/>
        <d v="2021-05-24T00:00:00"/>
        <d v="2021-04-09T00:00:00"/>
        <d v="2024-01-09T00:00:00"/>
        <d v="2022-03-04T00:00:00"/>
        <d v="2022-07-29T00:00:00"/>
        <d v="2021-08-23T00:00:00"/>
        <d v="2024-06-03T00:00:00"/>
        <d v="2023-06-11T00:00:00"/>
        <d v="2022-07-06T00:00:00"/>
        <d v="2022-11-03T00:00:00"/>
        <d v="2023-03-15T00:00:00"/>
        <d v="2021-08-16T00:00:00"/>
        <d v="2021-03-04T00:00:00"/>
        <d v="2022-05-30T00:00:00"/>
        <d v="2022-10-15T00:00:00"/>
        <d v="2021-08-28T00:00:00"/>
        <d v="2023-02-15T00:00:00"/>
        <d v="2022-05-05T00:00:00"/>
        <d v="2021-12-14T00:00:00"/>
        <d v="2023-07-11T00:00:00"/>
        <d v="2024-09-24T00:00:00"/>
        <d v="2023-09-13T00:00:00"/>
        <d v="2024-01-06T00:00:00"/>
        <d v="2022-07-28T00:00:00"/>
        <d v="2024-12-23T00:00:00"/>
        <d v="2024-07-22T00:00:00"/>
        <d v="2022-07-30T00:00:00"/>
        <d v="2022-10-30T00:00:00"/>
        <d v="2021-07-09T00:00:00"/>
        <d v="2022-02-11T00:00:00"/>
        <d v="2021-07-28T00:00:00"/>
        <d v="2021-12-13T00:00:00"/>
        <d v="2023-04-30T00:00:00"/>
        <d v="2023-04-06T00:00:00"/>
        <d v="2023-10-07T00:00:00"/>
        <d v="2023-12-16T00:00:00"/>
        <d v="2023-04-19T00:00:00"/>
        <d v="2023-11-28T00:00:00"/>
        <d v="2023-06-06T00:00:00"/>
        <d v="2022-07-01T00:00:00"/>
        <d v="2024-02-10T00:00:00"/>
        <d v="2024-07-16T00:00:00"/>
        <d v="2023-08-04T00:00:00"/>
        <d v="2022-06-03T00:00:00"/>
        <d v="2023-02-18T00:00:00"/>
        <d v="2024-07-14T00:00:00"/>
        <d v="2022-03-03T00:00:00"/>
        <d v="2021-09-14T00:00:00"/>
        <d v="2023-11-10T00:00:00"/>
        <d v="2024-07-24T00:00:00"/>
        <d v="2021-02-20T00:00:00"/>
        <d v="2021-11-04T00:00:00"/>
        <d v="2023-07-22T00:00:00"/>
        <d v="2024-10-21T00:00:00"/>
        <d v="2023-01-25T00:00:00"/>
        <d v="2021-05-23T00:00:00"/>
        <d v="2022-05-07T00:00:00"/>
        <d v="2022-10-07T00:00:00"/>
        <d v="2022-01-27T00:00:00"/>
        <d v="2022-10-23T00:00:00"/>
        <d v="2022-02-18T00:00:00"/>
        <d v="2022-05-24T00:00:00"/>
        <d v="2022-06-05T00:00:00"/>
        <d v="2023-12-24T00:00:00"/>
        <d v="2021-06-01T00:00:00"/>
        <d v="2021-11-11T00:00:00"/>
        <d v="2023-07-18T00:00:00"/>
        <d v="2024-08-10T00:00:00"/>
        <d v="2023-07-15T00:00:00"/>
        <d v="2023-07-19T00:00:00"/>
        <d v="2021-11-21T00:00:00"/>
        <d v="2021-06-11T00:00:00"/>
        <d v="2021-06-30T00:00:00"/>
        <d v="2022-04-24T00:00:00"/>
        <d v="2022-06-30T00:00:00"/>
        <d v="2022-09-07T00:00:00"/>
        <d v="2023-06-20T00:00:00"/>
        <d v="2023-09-16T00:00:00"/>
        <d v="2022-09-19T00:00:00"/>
        <d v="2024-04-15T00:00:00"/>
        <d v="2021-02-07T00:00:00"/>
        <d v="2021-04-22T00:00:00"/>
        <d v="2024-12-22T00:00:00"/>
        <d v="2024-02-12T00:00:00"/>
        <d v="2022-12-05T00:00:00"/>
        <d v="2021-03-27T00:00:00"/>
        <d v="2023-06-23T00:00:00"/>
        <d v="2024-08-18T00:00:00"/>
        <d v="2024-11-27T00:00:00"/>
        <d v="2024-03-27T00:00:00"/>
        <d v="2024-07-08T00:00:00"/>
        <d v="2022-12-27T00:00:00"/>
        <d v="2022-08-28T00:00:00"/>
        <d v="2023-02-07T00:00:00"/>
        <d v="2022-11-19T00:00:00"/>
        <d v="2022-03-10T00:00:00"/>
        <d v="2024-04-13T00:00:00"/>
        <d v="2024-01-08T00:00:00"/>
        <d v="2023-07-24T00:00:00"/>
        <d v="2023-05-29T00:00:00"/>
        <d v="2022-02-04T00:00:00"/>
        <d v="2023-05-20T00:00:00"/>
        <d v="2021-07-03T00:00:00"/>
        <d v="2022-07-25T00:00:00"/>
        <d v="2023-01-15T00:00:00"/>
        <d v="2022-12-11T00:00:00"/>
        <d v="2023-08-10T00:00:00"/>
        <d v="2023-02-16T00:00:00"/>
        <d v="2024-03-01T00:00:00"/>
        <d v="2022-07-03T00:00:00"/>
        <d v="2022-01-20T00:00:00"/>
        <d v="2023-05-16T00:00:00"/>
        <d v="2024-03-02T00:00:00"/>
        <d v="2022-01-06T00:00:00"/>
        <d v="2023-03-12T00:00:00"/>
        <d v="2023-11-12T00:00:00"/>
        <d v="2022-05-03T00:00:00"/>
        <d v="2024-12-02T00:00:00"/>
        <d v="2023-05-13T00:00:00"/>
        <d v="2021-04-11T00:00:00"/>
        <d v="2022-02-22T00:00:00"/>
        <d v="2021-08-19T00:00:00"/>
        <d v="2022-11-30T00:00:00"/>
        <d v="2024-01-25T00:00:00"/>
        <d v="2024-11-13T00:00:00"/>
        <d v="2021-05-02T00:00:00"/>
        <d v="2021-06-07T00:00:00"/>
        <d v="2024-02-14T00:00:00"/>
        <d v="2021-03-28T00:00:00"/>
      </sharedItems>
    </cacheField>
    <cacheField name="transaction_type" numFmtId="0">
      <sharedItems count="2">
        <s v="Expense"/>
        <s v="Income"/>
      </sharedItems>
    </cacheField>
    <cacheField name="category" numFmtId="0">
      <sharedItems count="16">
        <s v="Education"/>
        <s v="Rent"/>
        <s v="Freelance"/>
        <s v="Food"/>
        <s v="entertainment"/>
        <s v="Salary"/>
        <s v="Utilities"/>
        <s v="Others"/>
        <s v="Travel"/>
        <s v="Health"/>
        <s v="Investment"/>
        <s v="savings"/>
        <s v="unknown"/>
        <s v="Bonus"/>
        <s v="miscellaneous"/>
        <s v="Others "/>
      </sharedItems>
    </cacheField>
    <cacheField name="amount" numFmtId="0">
      <sharedItems containsBlank="1" containsMixedTypes="1" containsNumber="1" containsInteger="1" minValue="-1000" maxValue="855881" count="705">
        <n v="3888"/>
        <n v="649"/>
        <n v="13239"/>
        <n v="6299"/>
        <n v="2287"/>
        <n v="4168"/>
        <s v="Rs.828"/>
        <n v="62061"/>
        <s v="â‚¹5070"/>
        <n v="59543"/>
        <m/>
        <s v="$4262"/>
        <n v="5767"/>
        <n v="23760"/>
        <n v="898"/>
        <n v="25143"/>
        <n v="9567"/>
        <n v="49683"/>
        <n v="222"/>
        <s v="â‚¹2553"/>
        <n v="7406"/>
        <n v="3010"/>
        <n v="4846"/>
        <n v="855881"/>
        <n v="4452"/>
        <n v="2206"/>
        <n v="7038"/>
        <n v="4286"/>
        <n v="8119"/>
        <s v="â‚¹4189"/>
        <n v="19947"/>
        <s v="5107 INR"/>
        <n v="3865"/>
        <n v="2407"/>
        <n v="3085"/>
        <n v="5252"/>
        <s v="1380 INR"/>
        <s v="$7619"/>
        <n v="4823"/>
        <n v="8497"/>
        <n v="8241"/>
        <n v="8579"/>
        <n v="235"/>
        <n v="1263"/>
        <n v="2134"/>
        <n v="2228"/>
        <s v="4641 INR"/>
        <n v="1081"/>
        <n v="371"/>
        <n v="225"/>
        <n v="23776"/>
        <n v="6707"/>
        <s v="$8380"/>
        <n v="601"/>
        <n v="3219"/>
        <n v="8182"/>
        <n v="8111"/>
        <s v="Rs.5554"/>
        <s v="â‚¹41573"/>
        <n v="3110"/>
        <n v="4277"/>
        <n v="3047"/>
        <n v="10183"/>
        <n v="9888"/>
        <n v="7217"/>
        <n v="9725"/>
        <n v="9648"/>
        <n v="1643"/>
        <s v="7397 INR"/>
        <n v="70075"/>
        <s v="Rs.864"/>
        <n v="6228"/>
        <n v="1206"/>
        <n v="8204"/>
        <s v="Rs.5756"/>
        <s v="â‚¹5576"/>
        <n v="9771"/>
        <n v="20509"/>
        <n v="62193"/>
        <n v="3367"/>
        <n v="2721"/>
        <n v="2962"/>
        <n v="8283"/>
        <n v="3520"/>
        <n v="5524"/>
        <n v="1800"/>
        <s v="â‚¹32146"/>
        <n v="57173"/>
        <n v="2966"/>
        <n v="1004"/>
        <s v="â‚¹6141"/>
        <n v="9154"/>
        <s v="Rs.9705"/>
        <n v="2637"/>
        <n v="1073"/>
        <n v="425"/>
        <n v="34145"/>
        <n v="527"/>
        <n v="5195"/>
        <n v="3143"/>
        <n v="2135"/>
        <n v="2163"/>
        <n v="42078"/>
        <n v="2778"/>
        <n v="3929"/>
        <n v="23852"/>
        <s v="â‚¹6856"/>
        <n v="49639"/>
        <n v="3150"/>
        <n v="9408"/>
        <n v="4114"/>
        <s v="Rs.14249"/>
        <n v="9681"/>
        <n v="3011"/>
        <n v="32789"/>
        <n v="6704"/>
        <s v="Rs.4427"/>
        <n v="3121"/>
        <n v="3802"/>
        <n v="544"/>
        <n v="9053"/>
        <n v="32381"/>
        <s v="Rs.8305"/>
        <n v="8841"/>
        <n v="46219"/>
        <s v="9800 INR"/>
        <n v="4451"/>
        <n v="9358"/>
        <n v="3569"/>
        <n v="2979"/>
        <s v="$1863"/>
        <n v="34984"/>
        <n v="44031"/>
        <s v="â‚¹21771"/>
        <s v="$24920"/>
        <n v="8861"/>
        <s v="â‚¹4201"/>
        <n v="47473"/>
        <n v="75822"/>
        <n v="677"/>
        <n v="43252"/>
        <s v="â‚¹2615"/>
        <s v="â‚¹2855"/>
        <n v="57358"/>
        <n v="6348"/>
        <n v="4583"/>
        <n v="4952"/>
        <n v="3941"/>
        <n v="47262"/>
        <n v="1998"/>
        <s v="â‚¹8124"/>
        <n v="1326"/>
        <s v="â‚¹4328"/>
        <n v="276"/>
        <s v="â‚¹4215"/>
        <s v="â‚¹6316"/>
        <n v="21376"/>
        <n v="7391"/>
        <n v="2990"/>
        <n v="2230"/>
        <n v="6197"/>
        <n v="6502"/>
        <n v="6902"/>
        <n v="9939"/>
        <n v="1518"/>
        <n v="2985"/>
        <n v="6671"/>
        <n v="1409"/>
        <n v="2497"/>
        <n v="6324"/>
        <s v="$7315"/>
        <n v="7080"/>
        <n v="7821"/>
        <s v="â‚¹988"/>
        <n v="23504"/>
        <n v="1064"/>
        <n v="2683"/>
        <n v="5022"/>
        <s v="â‚¹7849"/>
        <n v="33565"/>
        <n v="66678"/>
        <n v="6304"/>
        <n v="50009"/>
        <n v="5811"/>
        <s v="â‚¹7713"/>
        <n v="70693"/>
        <n v="2603"/>
        <n v="314"/>
        <n v="9806"/>
        <n v="3762"/>
        <n v="9891"/>
        <n v="6869"/>
        <s v="$6756"/>
        <n v="356"/>
        <n v="20156"/>
        <s v="$3790"/>
        <n v="6766"/>
        <n v="3765"/>
        <n v="4638"/>
        <n v="11650"/>
        <n v="5790"/>
        <n v="12435"/>
        <n v="31183"/>
        <n v="775"/>
        <s v="$8230"/>
        <s v="â‚¹5582"/>
        <n v="5918"/>
        <n v="73830"/>
        <n v="23340"/>
        <n v="40813"/>
        <s v="â‚¹3414"/>
        <n v="2033"/>
        <n v="44932"/>
        <s v="â‚¹2274"/>
        <n v="330"/>
        <n v="8592"/>
        <s v="Rs.6779"/>
        <n v="29235"/>
        <n v="2143"/>
        <n v="4945"/>
        <n v="8152"/>
        <n v="7300"/>
        <n v="4603"/>
        <s v="$4719"/>
        <n v="27792"/>
        <n v="6691"/>
        <n v="5935"/>
        <s v="â‚¹9750"/>
        <n v="6484"/>
        <n v="2398"/>
        <s v="â‚¹498"/>
        <s v="Rs.35588"/>
        <s v="$13131"/>
        <s v="$6321"/>
        <n v="28207"/>
        <n v="10749"/>
        <n v="2232"/>
        <n v="8161"/>
        <n v="3825"/>
        <n v="4923"/>
        <s v="Rs.1078"/>
        <s v="â‚¹74630"/>
        <n v="14180"/>
        <n v="8479"/>
        <n v="5292"/>
        <n v="3942"/>
        <s v="2923 INR"/>
        <n v="8943"/>
        <n v="3159"/>
        <n v="12484"/>
        <n v="4331"/>
        <n v="9348"/>
        <n v="8174"/>
        <n v="74243"/>
        <n v="8640"/>
        <n v="9784"/>
        <n v="45093"/>
        <n v="2130"/>
        <n v="4816"/>
        <n v="2247"/>
        <n v="46587"/>
        <s v="â‚¹6699"/>
        <n v="3345"/>
        <n v="6610"/>
        <s v="â‚¹4692"/>
        <n v="5305"/>
        <n v="67675"/>
        <n v="7845"/>
        <n v="7183"/>
        <n v="6908"/>
        <n v="47146"/>
        <n v="5749"/>
        <n v="5542"/>
        <n v="3429"/>
        <n v="237"/>
        <n v="8231"/>
        <s v="Rs.9859"/>
        <n v="2288"/>
        <n v="5756"/>
        <s v="Rs.28183"/>
        <n v="41720"/>
        <n v="7335"/>
        <n v="287"/>
        <n v="57828"/>
        <s v="â‚¹9601"/>
        <n v="2186"/>
        <n v="8093"/>
        <n v="2272"/>
        <n v="4549"/>
        <n v="21603"/>
        <n v="1641"/>
        <n v="7941"/>
        <s v="$7135"/>
        <n v="4265"/>
        <n v="8634"/>
        <n v="1006"/>
        <n v="475"/>
        <s v="â‚¹6799"/>
        <s v="â‚¹1564"/>
        <s v="1002 INR"/>
        <n v="46614"/>
        <n v="4005"/>
        <n v="651"/>
        <s v="$4601"/>
        <s v="â‚¹46896"/>
        <n v="78532"/>
        <n v="178518"/>
        <n v="8687"/>
        <n v="57170"/>
        <n v="7235"/>
        <n v="9675"/>
        <n v="4895"/>
        <n v="21355"/>
        <s v="â‚¹13183"/>
        <s v="â‚¹9364"/>
        <s v="$5042"/>
        <n v="2824"/>
        <s v="â‚¹9979"/>
        <n v="8548"/>
        <n v="700"/>
        <s v="Rs.6556"/>
        <s v="8641 INR"/>
        <n v="5988"/>
        <n v="5549"/>
        <n v="44898"/>
        <n v="3221"/>
        <s v="â‚¹1810"/>
        <s v="$9944"/>
        <n v="1037"/>
        <n v="6278"/>
        <s v="$2963"/>
        <n v="999"/>
        <n v="43737"/>
        <n v="45894"/>
        <s v="â‚¹7040"/>
        <n v="5011"/>
        <n v="2082"/>
        <n v="43378"/>
        <n v="4167"/>
        <n v="6260"/>
        <n v="747"/>
        <n v="3645"/>
        <n v="5958"/>
        <n v="49098"/>
        <n v="3833"/>
        <n v="2715"/>
        <s v="â‚¹9245"/>
        <n v="12316"/>
        <n v="2561"/>
        <n v="6832"/>
        <s v="Rs.9714"/>
        <n v="73654"/>
        <n v="5622"/>
        <n v="7748"/>
        <n v="4981"/>
        <n v="301"/>
        <n v="3830"/>
        <n v="79870"/>
        <n v="4426"/>
        <n v="3640"/>
        <n v="1583"/>
        <s v="â‚¹9476"/>
        <s v="â‚¹7070"/>
        <n v="7174"/>
        <s v="Rs.3159"/>
        <n v="7296"/>
        <n v="1606"/>
        <n v="9434"/>
        <n v="3280"/>
        <s v="15131 INR"/>
        <n v="886"/>
        <n v="7109"/>
        <n v="4201"/>
        <n v="655"/>
        <n v="61598"/>
        <n v="44066"/>
        <n v="224611"/>
        <n v="46284"/>
        <n v="174110"/>
        <n v="2044"/>
        <n v="5277"/>
        <s v="47843 INR"/>
        <n v="1115"/>
        <n v="2017"/>
        <n v="2053"/>
        <n v="8839"/>
        <n v="9635"/>
        <s v="â‚¹56581"/>
        <n v="392"/>
        <n v="6027"/>
        <n v="26916"/>
        <n v="994"/>
        <n v="63125"/>
        <n v="175"/>
        <n v="24394"/>
        <n v="67910"/>
        <n v="9531"/>
        <s v="â‚¹7838"/>
        <n v="2511"/>
        <n v="7734"/>
        <n v="1461"/>
        <n v="33170"/>
        <n v="7858"/>
        <n v="3913"/>
        <n v="5279"/>
        <s v="â‚¹4694"/>
        <n v="2060"/>
        <n v="32436"/>
        <n v="7717"/>
        <s v="$42921"/>
        <n v="3021"/>
        <s v="562 INR"/>
        <n v="1574"/>
        <s v="Rs.6879"/>
        <n v="5599"/>
        <n v="4374"/>
        <n v="552"/>
        <s v="â‚¹1686"/>
        <n v="30473"/>
        <s v="â‚¹3325"/>
        <n v="46991"/>
        <n v="5535"/>
        <s v="â‚¹33228"/>
        <n v="44802"/>
        <n v="9188"/>
        <n v="8716"/>
        <n v="9273"/>
        <n v="39845"/>
        <n v="18231"/>
        <n v="9636"/>
        <n v="7121"/>
        <n v="5447"/>
        <s v="$6402"/>
        <n v="19467"/>
        <n v="1336"/>
        <n v="7761"/>
        <n v="9556"/>
        <n v="8138"/>
        <n v="13959"/>
        <n v="3084"/>
        <s v="Rs.887"/>
        <n v="7874"/>
        <s v="â‚¹5391"/>
        <n v="4771"/>
        <n v="9430"/>
        <n v="5045"/>
        <n v="29287"/>
        <n v="9991"/>
        <n v="3891"/>
        <n v="37865"/>
        <n v="4955"/>
        <n v="9757"/>
        <s v="â‚¹43818"/>
        <n v="3607"/>
        <s v="â‚¹1150"/>
        <n v="1453"/>
        <n v="69923"/>
        <n v="9369"/>
        <n v="2642"/>
        <s v="$27454"/>
        <n v="20656"/>
        <s v="â‚¹10347"/>
        <n v="388"/>
        <n v="3756"/>
        <n v="4153"/>
        <n v="36129"/>
        <n v="384"/>
        <n v="3700"/>
        <n v="3901"/>
        <n v="3507"/>
        <s v="9883 INR"/>
        <n v="63348"/>
        <n v="45361"/>
        <n v="236"/>
        <n v="6168"/>
        <n v="6798"/>
        <n v="4051"/>
        <n v="7998"/>
        <n v="1255"/>
        <s v="1621 INR"/>
        <n v="6725"/>
        <n v="6113"/>
        <n v="2799"/>
        <n v="4958"/>
        <n v="1099"/>
        <n v="5642"/>
        <n v="1020"/>
        <n v="3738"/>
        <n v="3192"/>
        <n v="7691"/>
        <n v="9222"/>
        <s v="â‚¹4241"/>
        <n v="1180"/>
        <s v="$1889"/>
        <n v="36056"/>
        <n v="6358"/>
        <n v="5345"/>
        <n v="702"/>
        <n v="7292"/>
        <n v="941"/>
        <n v="6574"/>
        <n v="409"/>
        <s v="32906 INR"/>
        <n v="0"/>
        <n v="3903"/>
        <n v="9694"/>
        <s v="â‚¹9013"/>
        <n v="1980"/>
        <n v="7818"/>
        <s v="$9237"/>
        <n v="6682"/>
        <n v="6714"/>
        <n v="8859"/>
        <n v="1098"/>
        <n v="35719"/>
        <n v="6170"/>
        <n v="2318"/>
        <n v="6354"/>
        <n v="8158"/>
        <n v="1702"/>
        <n v="6760"/>
        <n v="8201"/>
        <n v="4327"/>
        <s v="Rs.2954"/>
        <n v="8122"/>
        <n v="1008"/>
        <s v="Rs.8382"/>
        <n v="1372"/>
        <s v="â‚¹46281"/>
        <s v="â‚¹6566"/>
        <s v="â‚¹984"/>
        <s v="â‚¹1259"/>
        <n v="2072"/>
        <s v="â‚¹46784"/>
        <s v="Rs.7393"/>
        <n v="56971"/>
        <s v="â‚¹9349"/>
        <s v="â‚¹1868"/>
        <n v="2774"/>
        <s v="â‚¹30722"/>
        <n v="2481"/>
        <s v="â‚¹8855"/>
        <s v="$3954"/>
        <n v="4941"/>
        <n v="2043"/>
        <n v="2392"/>
        <n v="6626"/>
        <n v="3054"/>
        <n v="37631"/>
        <n v="38973"/>
        <n v="3980"/>
        <n v="8729"/>
        <n v="7773"/>
        <s v="$210"/>
        <n v="2611"/>
        <n v="34418"/>
        <n v="4883"/>
        <n v="1652"/>
        <n v="8006"/>
        <n v="6829"/>
        <n v="4713"/>
        <n v="14297"/>
        <n v="2087"/>
        <n v="11168"/>
        <n v="5997"/>
        <n v="8195"/>
        <n v="4677"/>
        <n v="59853"/>
        <n v="464"/>
        <n v="48330"/>
        <n v="8757"/>
        <n v="5855"/>
        <n v="3444"/>
        <n v="7010"/>
        <n v="14582"/>
        <n v="14412"/>
        <n v="18733"/>
        <n v="3702"/>
        <s v="â‚¹6062"/>
        <n v="9155"/>
        <n v="4949"/>
        <n v="5066"/>
        <n v="6432"/>
        <s v="â‚¹1945"/>
        <n v="7288"/>
        <n v="4942"/>
        <n v="1443"/>
        <n v="66905"/>
        <n v="1731"/>
        <n v="4462"/>
        <n v="4343"/>
        <n v="842"/>
        <n v="1969"/>
        <s v="â‚¹2811"/>
        <n v="1223"/>
        <n v="9301"/>
        <n v="19382"/>
        <n v="2984"/>
        <n v="9399"/>
        <n v="-1000"/>
        <n v="845"/>
        <n v="8421"/>
        <s v="Rs.7687"/>
        <n v="8337"/>
        <n v="5205"/>
        <n v="4206"/>
        <s v="$5937"/>
        <n v="1690"/>
        <n v="37280"/>
        <n v="744"/>
        <s v="773 INR"/>
        <n v="4103"/>
        <s v="$3389"/>
        <n v="847"/>
        <n v="49400"/>
        <n v="5271"/>
        <n v="9352"/>
        <s v="$8679"/>
        <n v="61209"/>
        <s v="â‚¹12429"/>
        <n v="2583"/>
        <n v="9647"/>
        <n v="7482"/>
        <n v="9698"/>
        <n v="8773"/>
        <n v="2236"/>
        <n v="4119"/>
        <n v="50800"/>
        <n v="1790"/>
        <n v="788"/>
        <s v="$5717"/>
        <n v="2771"/>
        <n v="222939"/>
        <s v="$3869"/>
        <s v="Rs.2837"/>
        <n v="76239"/>
        <n v="5375"/>
        <n v="4953"/>
        <n v="4494"/>
        <s v="â‚¹619"/>
        <n v="5649"/>
        <n v="37665"/>
        <s v="$740"/>
        <n v="77578"/>
        <n v="7815"/>
        <n v="2158"/>
        <s v="â‚¹3765"/>
        <n v="4039"/>
        <n v="4218"/>
        <n v="1009"/>
        <n v="2220"/>
        <n v="3050"/>
        <n v="50581"/>
        <n v="65464"/>
        <s v="â‚¹3207"/>
        <n v="861"/>
        <n v="34452"/>
        <n v="9804"/>
        <n v="6666"/>
        <n v="8355"/>
        <s v="â‚¹9644"/>
        <n v="9727"/>
        <n v="4753"/>
        <n v="5025"/>
        <n v="2628"/>
        <n v="1611"/>
        <n v="6020"/>
        <n v="3123"/>
        <n v="16944"/>
        <s v="â‚¹25106"/>
        <n v="1317"/>
        <n v="4235"/>
        <n v="2265"/>
        <n v="1346"/>
        <n v="-500"/>
        <n v="1505"/>
        <s v="Rs.4697"/>
        <n v="10239"/>
        <s v="Rs.7245"/>
        <s v="â‚¹4258"/>
        <n v="4253"/>
        <n v="4882"/>
        <n v="4597"/>
        <n v="65471"/>
        <n v="28581"/>
        <s v="3737 INR"/>
        <n v="8214"/>
        <n v="7287"/>
        <n v="6868"/>
        <n v="7173"/>
        <n v="2693"/>
        <n v="8468"/>
        <n v="7900"/>
        <n v="75757"/>
        <n v="749253"/>
        <n v="5531"/>
        <s v="â‚¹6790"/>
        <n v="4827"/>
        <n v="5094"/>
        <n v="36568"/>
        <n v="5316"/>
        <s v="$3429"/>
        <s v="â‚¹41358"/>
        <n v="6805"/>
        <s v="Rs.2358"/>
      </sharedItems>
    </cacheField>
    <cacheField name="corrected amount" numFmtId="0">
      <sharedItems containsSemiMixedTypes="0" containsString="0" containsNumber="1" minValue="-1000" maxValue="855881"/>
    </cacheField>
    <cacheField name="Expense only" numFmtId="0">
      <sharedItems containsMixedTypes="1" containsNumber="1" minValue="-1000" maxValue="49400" count="595">
        <n v="3888"/>
        <n v="649"/>
        <s v="Nill"/>
        <n v="6299"/>
        <n v="2287"/>
        <n v="4168"/>
        <n v="828"/>
        <n v="5070"/>
        <n v="15120.822802197803"/>
        <n v="4262"/>
        <n v="5767"/>
        <n v="23760"/>
        <n v="898"/>
        <n v="9567"/>
        <n v="222"/>
        <n v="2553"/>
        <n v="7406"/>
        <n v="3010"/>
        <n v="4846"/>
        <n v="4452"/>
        <n v="2206"/>
        <n v="7038"/>
        <n v="4286"/>
        <n v="8119"/>
        <n v="4189"/>
        <n v="5107"/>
        <n v="3865"/>
        <n v="2407"/>
        <n v="3085"/>
        <n v="5252"/>
        <n v="1380"/>
        <n v="7619"/>
        <n v="4823"/>
        <n v="8497"/>
        <n v="8241"/>
        <n v="8579"/>
        <n v="235"/>
        <n v="1263"/>
        <n v="2134"/>
        <n v="2228"/>
        <n v="4641"/>
        <n v="1081"/>
        <n v="371"/>
        <n v="225"/>
        <n v="23776"/>
        <n v="6707"/>
        <n v="8380"/>
        <n v="601"/>
        <n v="3219"/>
        <n v="8182"/>
        <n v="8111"/>
        <n v="5554"/>
        <n v="3110"/>
        <n v="4277"/>
        <n v="3047"/>
        <n v="9888"/>
        <n v="7217"/>
        <n v="9725"/>
        <n v="9648"/>
        <n v="1643"/>
        <n v="7397"/>
        <n v="864"/>
        <n v="6228"/>
        <n v="1206"/>
        <n v="8204"/>
        <n v="5756"/>
        <n v="5576"/>
        <n v="9771"/>
        <n v="20509"/>
        <n v="3367"/>
        <n v="2721"/>
        <n v="2962"/>
        <n v="8283"/>
        <n v="3520"/>
        <n v="5524"/>
        <n v="1800"/>
        <n v="2966"/>
        <n v="1004"/>
        <n v="6141"/>
        <n v="9154"/>
        <n v="9705"/>
        <n v="2637"/>
        <n v="1073"/>
        <n v="425"/>
        <n v="527"/>
        <n v="5195"/>
        <n v="3143"/>
        <n v="2135"/>
        <n v="2163"/>
        <n v="42078"/>
        <n v="2778"/>
        <n v="3929"/>
        <n v="6856"/>
        <n v="3150"/>
        <n v="9408"/>
        <n v="4114"/>
        <n v="9681"/>
        <n v="3011"/>
        <n v="6704"/>
        <n v="4427"/>
        <n v="3121"/>
        <n v="3802"/>
        <n v="544"/>
        <n v="9053"/>
        <n v="8305"/>
        <n v="8841"/>
        <n v="9800"/>
        <n v="4451"/>
        <n v="9358"/>
        <n v="3569"/>
        <n v="2979"/>
        <n v="1863"/>
        <n v="34984"/>
        <n v="21771"/>
        <n v="8861"/>
        <n v="4201"/>
        <n v="47473"/>
        <n v="677"/>
        <n v="43252"/>
        <n v="2615"/>
        <n v="2855"/>
        <n v="6348"/>
        <n v="4583"/>
        <n v="4952"/>
        <n v="3941"/>
        <n v="1998"/>
        <n v="8124"/>
        <n v="1326"/>
        <n v="4328"/>
        <n v="276"/>
        <n v="4215"/>
        <n v="6316"/>
        <n v="21376"/>
        <n v="7391"/>
        <n v="2990"/>
        <n v="2230"/>
        <n v="6197"/>
        <n v="6502"/>
        <n v="6902"/>
        <n v="9939"/>
        <n v="1518"/>
        <n v="2985"/>
        <n v="6671"/>
        <n v="1409"/>
        <n v="2497"/>
        <n v="6324"/>
        <n v="7315"/>
        <n v="7080"/>
        <n v="7821"/>
        <n v="988"/>
        <n v="1064"/>
        <n v="2683"/>
        <n v="5022"/>
        <n v="7849"/>
        <n v="6304"/>
        <n v="5811"/>
        <n v="7713"/>
        <n v="2603"/>
        <n v="314"/>
        <n v="9806"/>
        <n v="3762"/>
        <n v="9891"/>
        <n v="6869"/>
        <n v="6756"/>
        <n v="356"/>
        <n v="3790"/>
        <n v="6766"/>
        <n v="3765"/>
        <n v="4638"/>
        <n v="5790"/>
        <n v="12435"/>
        <n v="775"/>
        <n v="8230"/>
        <n v="5582"/>
        <n v="5918"/>
        <n v="23340"/>
        <n v="40813"/>
        <n v="3414"/>
        <n v="2033"/>
        <n v="2274"/>
        <n v="330"/>
        <n v="8592"/>
        <n v="6779"/>
        <n v="2143"/>
        <n v="4945"/>
        <n v="8152"/>
        <n v="7300"/>
        <n v="4603"/>
        <n v="4719"/>
        <n v="27792"/>
        <n v="6691"/>
        <n v="5935"/>
        <n v="9750"/>
        <n v="6484"/>
        <n v="2398"/>
        <n v="498"/>
        <n v="35588"/>
        <n v="6321"/>
        <n v="28207"/>
        <n v="10749"/>
        <n v="2232"/>
        <n v="8161"/>
        <n v="3825"/>
        <n v="4923"/>
        <n v="1078"/>
        <n v="8479"/>
        <n v="5292"/>
        <n v="3942"/>
        <n v="2923"/>
        <n v="8943"/>
        <n v="3159"/>
        <n v="12484"/>
        <n v="4331"/>
        <n v="9348"/>
        <n v="8174"/>
        <n v="8640"/>
        <n v="9784"/>
        <n v="45093"/>
        <n v="2130"/>
        <n v="4816"/>
        <n v="2247"/>
        <n v="6699"/>
        <n v="3345"/>
        <n v="6610"/>
        <n v="4692"/>
        <n v="5305"/>
        <n v="7845"/>
        <n v="7183"/>
        <n v="6908"/>
        <n v="47146"/>
        <n v="5749"/>
        <n v="5542"/>
        <n v="3429"/>
        <n v="237"/>
        <n v="8231"/>
        <n v="9859"/>
        <n v="2288"/>
        <n v="28183"/>
        <n v="7335"/>
        <n v="287"/>
        <n v="9601"/>
        <n v="2186"/>
        <n v="8093"/>
        <n v="2272"/>
        <n v="4549"/>
        <n v="21603"/>
        <n v="1641"/>
        <n v="7941"/>
        <n v="7135"/>
        <n v="4265"/>
        <n v="8634"/>
        <n v="1006"/>
        <n v="475"/>
        <n v="6799"/>
        <n v="1564"/>
        <n v="1002"/>
        <n v="46614"/>
        <n v="4005"/>
        <n v="651"/>
        <n v="4601"/>
        <n v="46896"/>
        <n v="8687"/>
        <n v="7235"/>
        <n v="9675"/>
        <n v="4895"/>
        <n v="9364"/>
        <n v="5042"/>
        <n v="2824"/>
        <n v="9979"/>
        <n v="8548"/>
        <n v="700"/>
        <n v="6556"/>
        <n v="8641"/>
        <n v="5988"/>
        <n v="5549"/>
        <n v="44898"/>
        <n v="3221"/>
        <n v="1810"/>
        <n v="9944"/>
        <n v="1037"/>
        <n v="6278"/>
        <n v="2963"/>
        <n v="999"/>
        <n v="45894"/>
        <n v="7040"/>
        <n v="5011"/>
        <n v="2082"/>
        <n v="4167"/>
        <n v="6260"/>
        <n v="747"/>
        <n v="3645"/>
        <n v="5958"/>
        <n v="3833"/>
        <n v="2715"/>
        <n v="9245"/>
        <n v="12316"/>
        <n v="2561"/>
        <n v="6832"/>
        <n v="9714"/>
        <n v="5622"/>
        <n v="7748"/>
        <n v="4981"/>
        <n v="301"/>
        <n v="3830"/>
        <n v="4426"/>
        <n v="3640"/>
        <n v="1583"/>
        <n v="9476"/>
        <n v="7070"/>
        <n v="7174"/>
        <n v="7296"/>
        <n v="1606"/>
        <n v="9434"/>
        <n v="3280"/>
        <n v="886"/>
        <n v="7109"/>
        <n v="655"/>
        <n v="46284"/>
        <n v="2044"/>
        <n v="5277"/>
        <n v="47843"/>
        <n v="1115"/>
        <n v="2017"/>
        <n v="2053"/>
        <n v="8839"/>
        <n v="9635"/>
        <n v="392"/>
        <n v="6027"/>
        <n v="26916"/>
        <n v="994"/>
        <n v="175"/>
        <n v="9531"/>
        <n v="7838"/>
        <n v="2511"/>
        <n v="7734"/>
        <n v="1461"/>
        <n v="7858"/>
        <n v="3913"/>
        <n v="5279"/>
        <n v="4694"/>
        <n v="2060"/>
        <n v="32436"/>
        <n v="7717"/>
        <n v="3021"/>
        <n v="562"/>
        <n v="1574"/>
        <n v="6879"/>
        <n v="5599"/>
        <n v="4374"/>
        <n v="552"/>
        <n v="1686"/>
        <n v="3325"/>
        <n v="46991"/>
        <n v="5535"/>
        <n v="33228"/>
        <n v="9188"/>
        <n v="8716"/>
        <n v="9273"/>
        <n v="39845"/>
        <n v="9636"/>
        <n v="7121"/>
        <n v="5447"/>
        <n v="6402"/>
        <n v="19467"/>
        <n v="1336"/>
        <n v="7761"/>
        <n v="9556"/>
        <n v="8138"/>
        <n v="3084"/>
        <n v="887"/>
        <n v="7874"/>
        <n v="5391"/>
        <n v="4771"/>
        <n v="9430"/>
        <n v="5045"/>
        <n v="29287"/>
        <n v="9991"/>
        <n v="3891"/>
        <n v="37865"/>
        <n v="4955"/>
        <n v="9757"/>
        <n v="3607"/>
        <n v="1150"/>
        <n v="1453"/>
        <n v="9369"/>
        <n v="2642"/>
        <n v="20656"/>
        <n v="388"/>
        <n v="3756"/>
        <n v="4153"/>
        <n v="384"/>
        <n v="3700"/>
        <n v="3901"/>
        <n v="3507"/>
        <n v="9883"/>
        <n v="236"/>
        <n v="6168"/>
        <n v="6798"/>
        <n v="4051"/>
        <n v="7998"/>
        <n v="1255"/>
        <n v="1621"/>
        <n v="6725"/>
        <n v="6113"/>
        <n v="2799"/>
        <n v="4958"/>
        <n v="1099"/>
        <n v="5642"/>
        <n v="1020"/>
        <n v="3738"/>
        <n v="3192"/>
        <n v="7691"/>
        <n v="9222"/>
        <n v="4241"/>
        <n v="1180"/>
        <n v="1889"/>
        <n v="36056"/>
        <n v="6358"/>
        <n v="5345"/>
        <n v="702"/>
        <n v="7292"/>
        <n v="941"/>
        <n v="6574"/>
        <n v="409"/>
        <n v="0"/>
        <n v="3903"/>
        <n v="9694"/>
        <n v="9013"/>
        <n v="1980"/>
        <n v="7818"/>
        <n v="9237"/>
        <n v="6682"/>
        <n v="6714"/>
        <n v="8859"/>
        <n v="1098"/>
        <n v="6170"/>
        <n v="2318"/>
        <n v="6354"/>
        <n v="8158"/>
        <n v="1702"/>
        <n v="6760"/>
        <n v="8201"/>
        <n v="4327"/>
        <n v="2954"/>
        <n v="8122"/>
        <n v="1008"/>
        <n v="8382"/>
        <n v="1372"/>
        <n v="6566"/>
        <n v="984"/>
        <n v="1259"/>
        <n v="2072"/>
        <n v="7393"/>
        <n v="9349"/>
        <n v="1868"/>
        <n v="2774"/>
        <n v="2481"/>
        <n v="8855"/>
        <n v="3954"/>
        <n v="4941"/>
        <n v="2043"/>
        <n v="2392"/>
        <n v="6626"/>
        <n v="3054"/>
        <n v="38973"/>
        <n v="3980"/>
        <n v="8729"/>
        <n v="7773"/>
        <n v="210"/>
        <n v="2611"/>
        <n v="34418"/>
        <n v="4883"/>
        <n v="1652"/>
        <n v="8006"/>
        <n v="6829"/>
        <n v="4713"/>
        <n v="2087"/>
        <n v="5997"/>
        <n v="8195"/>
        <n v="4677"/>
        <n v="464"/>
        <n v="48330"/>
        <n v="8757"/>
        <n v="5855"/>
        <n v="3444"/>
        <n v="7010"/>
        <n v="14582"/>
        <n v="3702"/>
        <n v="6062"/>
        <n v="9155"/>
        <n v="4949"/>
        <n v="5066"/>
        <n v="6432"/>
        <n v="1945"/>
        <n v="7288"/>
        <n v="4942"/>
        <n v="1443"/>
        <n v="1731"/>
        <n v="4462"/>
        <n v="4343"/>
        <n v="842"/>
        <n v="1969"/>
        <n v="2811"/>
        <n v="1223"/>
        <n v="9301"/>
        <n v="2984"/>
        <n v="9399"/>
        <n v="-1000"/>
        <n v="845"/>
        <n v="8421"/>
        <n v="7687"/>
        <n v="8337"/>
        <n v="5205"/>
        <n v="4206"/>
        <n v="5937"/>
        <n v="1690"/>
        <n v="744"/>
        <n v="773"/>
        <n v="4103"/>
        <n v="3389"/>
        <n v="847"/>
        <n v="49400"/>
        <n v="5271"/>
        <n v="9352"/>
        <n v="8679"/>
        <n v="2583"/>
        <n v="9647"/>
        <n v="7482"/>
        <n v="9698"/>
        <n v="8773"/>
        <n v="2236"/>
        <n v="4119"/>
        <n v="1790"/>
        <n v="788"/>
        <n v="5717"/>
        <n v="2771"/>
        <n v="3869"/>
        <n v="2837"/>
        <n v="5375"/>
        <n v="4953"/>
        <n v="4494"/>
        <n v="619"/>
        <n v="5649"/>
        <n v="740"/>
        <n v="7815"/>
        <n v="2158"/>
        <n v="4039"/>
        <n v="4218"/>
        <n v="1009"/>
        <n v="2220"/>
        <n v="3050"/>
        <n v="3207"/>
        <n v="861"/>
        <n v="9804"/>
        <n v="6666"/>
        <n v="8355"/>
        <n v="9644"/>
        <n v="9727"/>
        <n v="4753"/>
        <n v="5025"/>
        <n v="2628"/>
        <n v="1611"/>
        <n v="6020"/>
        <n v="3123"/>
        <n v="25106"/>
        <n v="1317"/>
        <n v="4235"/>
        <n v="2265"/>
        <n v="1346"/>
        <n v="-500"/>
        <n v="1505"/>
        <n v="4697"/>
        <n v="10239"/>
        <n v="7245"/>
        <n v="4258"/>
        <n v="4253"/>
        <n v="4882"/>
        <n v="4597"/>
        <n v="3737"/>
        <n v="8214"/>
        <n v="7287"/>
        <n v="6868"/>
        <n v="7173"/>
        <n v="2693"/>
        <n v="8468"/>
        <n v="7900"/>
        <n v="5531"/>
        <n v="6790"/>
        <n v="4827"/>
        <n v="5094"/>
        <n v="36568"/>
        <n v="5316"/>
        <n v="41358"/>
        <n v="6805"/>
        <n v="2358"/>
      </sharedItems>
    </cacheField>
    <cacheField name="Income only" numFmtId="0">
      <sharedItems containsMixedTypes="1" containsNumber="1" minValue="10183" maxValue="855881"/>
    </cacheField>
    <cacheField name="payment_mode" numFmtId="0">
      <sharedItems/>
    </cacheField>
    <cacheField name="location" numFmtId="0">
      <sharedItems count="11">
        <s v="Ahmedabad"/>
        <s v="Hyderabad"/>
        <s v="Bangalore"/>
        <s v="N/A"/>
        <s v="Lucknow"/>
        <s v="Kolkata"/>
        <s v="Delhi"/>
        <s v="Chennai"/>
        <s v="Pune"/>
        <s v="Jaipur"/>
        <s v="Mumbai"/>
      </sharedItems>
    </cacheField>
    <cacheField name="notes" numFmtId="0">
      <sharedItems/>
    </cacheField>
  </cacheFields>
  <extLst>
    <ext xmlns:x14="http://schemas.microsoft.com/office/spreadsheetml/2009/9/main" uri="{725AE2AE-9491-48be-B2B4-4EB974FC3084}">
      <x14:pivotCacheDefinition pivotCacheId="984424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
  <r>
    <s v="T4999"/>
    <s v="U018"/>
    <x v="0"/>
    <x v="0"/>
    <x v="0"/>
    <x v="0"/>
    <x v="0"/>
    <n v="3888"/>
    <x v="0"/>
    <s v="Nill"/>
    <s v="card"/>
    <x v="0"/>
    <s v="Movie tickets"/>
  </r>
  <r>
    <s v="T12828"/>
    <s v="U133"/>
    <x v="1"/>
    <x v="1"/>
    <x v="0"/>
    <x v="1"/>
    <x v="1"/>
    <n v="649"/>
    <x v="1"/>
    <s v="Nill"/>
    <s v="unknown"/>
    <x v="1"/>
    <s v="Not found"/>
  </r>
  <r>
    <s v="T7403"/>
    <s v="U091"/>
    <x v="2"/>
    <x v="2"/>
    <x v="1"/>
    <x v="2"/>
    <x v="2"/>
    <n v="13239"/>
    <x v="2"/>
    <n v="13239"/>
    <s v="Cash"/>
    <x v="2"/>
    <s v="Books"/>
  </r>
  <r>
    <s v="T12350"/>
    <s v="U097"/>
    <x v="3"/>
    <x v="3"/>
    <x v="0"/>
    <x v="3"/>
    <x v="3"/>
    <n v="6299"/>
    <x v="3"/>
    <s v="Nill"/>
    <s v="Bank Transfer"/>
    <x v="0"/>
    <s v="Electricity bill"/>
  </r>
  <r>
    <s v="T7495"/>
    <s v="U088"/>
    <x v="4"/>
    <x v="4"/>
    <x v="0"/>
    <x v="4"/>
    <x v="4"/>
    <n v="2287"/>
    <x v="4"/>
    <s v="Nill"/>
    <s v="card"/>
    <x v="1"/>
    <s v="N/A"/>
  </r>
  <r>
    <s v="T12465"/>
    <s v="U042"/>
    <x v="5"/>
    <x v="5"/>
    <x v="0"/>
    <x v="3"/>
    <x v="5"/>
    <n v="4168"/>
    <x v="5"/>
    <s v="Nill"/>
    <s v="unknown"/>
    <x v="3"/>
    <s v="test"/>
  </r>
  <r>
    <s v="T4518"/>
    <s v="U026"/>
    <x v="6"/>
    <x v="6"/>
    <x v="0"/>
    <x v="0"/>
    <x v="6"/>
    <n v="828"/>
    <x v="6"/>
    <s v="Nill"/>
    <s v="card"/>
    <x v="4"/>
    <s v="Uber ride"/>
  </r>
  <r>
    <s v="T9824"/>
    <s v="U061"/>
    <x v="7"/>
    <x v="7"/>
    <x v="1"/>
    <x v="5"/>
    <x v="7"/>
    <n v="62061"/>
    <x v="2"/>
    <n v="62061"/>
    <s v="card"/>
    <x v="0"/>
    <s v="unknown"/>
  </r>
  <r>
    <s v="T0741"/>
    <s v="U053"/>
    <x v="8"/>
    <x v="8"/>
    <x v="0"/>
    <x v="6"/>
    <x v="8"/>
    <n v="5070"/>
    <x v="7"/>
    <s v="Nill"/>
    <s v="upi"/>
    <x v="5"/>
    <s v="Grocery shopping"/>
  </r>
  <r>
    <s v="T12403"/>
    <s v="U004"/>
    <x v="9"/>
    <x v="9"/>
    <x v="1"/>
    <x v="7"/>
    <x v="9"/>
    <n v="59543"/>
    <x v="2"/>
    <n v="59543"/>
    <s v="upi"/>
    <x v="4"/>
    <s v="Gym membership"/>
  </r>
  <r>
    <s v="T5282"/>
    <s v="U016"/>
    <x v="10"/>
    <x v="10"/>
    <x v="0"/>
    <x v="6"/>
    <x v="10"/>
    <n v="15120.822802197803"/>
    <x v="8"/>
    <s v="Nill"/>
    <s v="card"/>
    <x v="6"/>
    <s v="unknown"/>
  </r>
  <r>
    <s v="T6861"/>
    <s v="U112"/>
    <x v="11"/>
    <x v="11"/>
    <x v="0"/>
    <x v="6"/>
    <x v="11"/>
    <n v="4262"/>
    <x v="9"/>
    <s v="Nill"/>
    <s v="upi"/>
    <x v="0"/>
    <s v="Uber ride"/>
  </r>
  <r>
    <s v="T9446"/>
    <s v="U006"/>
    <x v="12"/>
    <x v="12"/>
    <x v="0"/>
    <x v="6"/>
    <x v="12"/>
    <n v="5767"/>
    <x v="10"/>
    <s v="Nill"/>
    <s v="Bank Transfer"/>
    <x v="2"/>
    <s v="unknown"/>
  </r>
  <r>
    <s v="T3016"/>
    <s v="U099"/>
    <x v="13"/>
    <x v="13"/>
    <x v="0"/>
    <x v="1"/>
    <x v="13"/>
    <n v="23760"/>
    <x v="11"/>
    <s v="Nill"/>
    <s v="card"/>
    <x v="2"/>
    <s v="Electricity bill"/>
  </r>
  <r>
    <s v="T11564"/>
    <s v="U148"/>
    <x v="14"/>
    <x v="14"/>
    <x v="0"/>
    <x v="3"/>
    <x v="14"/>
    <n v="898"/>
    <x v="12"/>
    <s v="Nill"/>
    <s v="upi"/>
    <x v="4"/>
    <s v="Restaurant dinner"/>
  </r>
  <r>
    <s v="T11382"/>
    <s v="U111"/>
    <x v="15"/>
    <x v="15"/>
    <x v="1"/>
    <x v="2"/>
    <x v="15"/>
    <n v="25143"/>
    <x v="2"/>
    <n v="25143"/>
    <s v="card"/>
    <x v="7"/>
    <s v="unknown"/>
  </r>
  <r>
    <s v="T3133"/>
    <s v="U024"/>
    <x v="16"/>
    <x v="16"/>
    <x v="0"/>
    <x v="1"/>
    <x v="16"/>
    <n v="9567"/>
    <x v="13"/>
    <s v="Nill"/>
    <s v="Bank Transfer"/>
    <x v="8"/>
    <s v="ATM withdrawal"/>
  </r>
  <r>
    <s v="T1982"/>
    <s v="U089"/>
    <x v="17"/>
    <x v="17"/>
    <x v="1"/>
    <x v="7"/>
    <x v="17"/>
    <n v="49683"/>
    <x v="2"/>
    <n v="49683"/>
    <s v="unknown"/>
    <x v="4"/>
    <s v="Not found"/>
  </r>
  <r>
    <s v="T7154"/>
    <s v="U039"/>
    <x v="18"/>
    <x v="18"/>
    <x v="0"/>
    <x v="3"/>
    <x v="18"/>
    <n v="222"/>
    <x v="14"/>
    <s v="Nill"/>
    <s v="upi"/>
    <x v="2"/>
    <s v="misc"/>
  </r>
  <r>
    <s v="T2699"/>
    <s v="U092"/>
    <x v="19"/>
    <x v="19"/>
    <x v="0"/>
    <x v="8"/>
    <x v="19"/>
    <n v="2553"/>
    <x v="15"/>
    <s v="Nill"/>
    <s v="upi"/>
    <x v="4"/>
    <s v="Doctor consultation"/>
  </r>
  <r>
    <s v="T5774"/>
    <s v="U005"/>
    <x v="20"/>
    <x v="20"/>
    <x v="0"/>
    <x v="3"/>
    <x v="20"/>
    <n v="7406"/>
    <x v="16"/>
    <s v="Nill"/>
    <s v="card"/>
    <x v="2"/>
    <s v="Not found"/>
  </r>
  <r>
    <s v="T12850"/>
    <s v="U076"/>
    <x v="21"/>
    <x v="21"/>
    <x v="0"/>
    <x v="1"/>
    <x v="21"/>
    <n v="3010"/>
    <x v="17"/>
    <s v="Nill"/>
    <s v="upi"/>
    <x v="5"/>
    <s v="N/A"/>
  </r>
  <r>
    <s v="T5770"/>
    <s v="U107"/>
    <x v="3"/>
    <x v="3"/>
    <x v="0"/>
    <x v="9"/>
    <x v="22"/>
    <n v="4846"/>
    <x v="18"/>
    <s v="Nill"/>
    <s v="Cash"/>
    <x v="7"/>
    <s v="Books"/>
  </r>
  <r>
    <s v="T6195"/>
    <s v="U038"/>
    <x v="22"/>
    <x v="22"/>
    <x v="1"/>
    <x v="5"/>
    <x v="23"/>
    <n v="855881"/>
    <x v="2"/>
    <n v="855881"/>
    <s v="Bank Transfer"/>
    <x v="9"/>
    <s v="unknown"/>
  </r>
  <r>
    <s v="T12096"/>
    <s v="U075"/>
    <x v="3"/>
    <x v="3"/>
    <x v="0"/>
    <x v="3"/>
    <x v="24"/>
    <n v="4452"/>
    <x v="19"/>
    <s v="Nill"/>
    <s v="card"/>
    <x v="2"/>
    <s v="unknown"/>
  </r>
  <r>
    <s v="T5731"/>
    <s v="U027"/>
    <x v="23"/>
    <x v="23"/>
    <x v="0"/>
    <x v="3"/>
    <x v="25"/>
    <n v="2206"/>
    <x v="20"/>
    <s v="Nill"/>
    <s v="Bank Transfer"/>
    <x v="3"/>
    <s v="Not found"/>
  </r>
  <r>
    <s v="T0909"/>
    <s v="U013"/>
    <x v="24"/>
    <x v="24"/>
    <x v="0"/>
    <x v="4"/>
    <x v="26"/>
    <n v="7038"/>
    <x v="21"/>
    <s v="Nill"/>
    <s v="card"/>
    <x v="9"/>
    <s v="Gym membership"/>
  </r>
  <r>
    <s v="T7565"/>
    <s v="U075"/>
    <x v="25"/>
    <x v="25"/>
    <x v="0"/>
    <x v="8"/>
    <x v="27"/>
    <n v="4286"/>
    <x v="22"/>
    <s v="Nill"/>
    <s v="Bank Transfer"/>
    <x v="1"/>
    <s v="N/A"/>
  </r>
  <r>
    <s v="T1653"/>
    <s v="U099"/>
    <x v="26"/>
    <x v="26"/>
    <x v="0"/>
    <x v="0"/>
    <x v="28"/>
    <n v="8119"/>
    <x v="23"/>
    <s v="Nill"/>
    <s v="card"/>
    <x v="1"/>
    <s v="Books"/>
  </r>
  <r>
    <s v="T6239"/>
    <s v="U150"/>
    <x v="27"/>
    <x v="27"/>
    <x v="0"/>
    <x v="0"/>
    <x v="29"/>
    <n v="4189"/>
    <x v="24"/>
    <s v="Nill"/>
    <s v="card"/>
    <x v="2"/>
    <s v="Uber ride"/>
  </r>
  <r>
    <s v="T2849"/>
    <s v="U150"/>
    <x v="28"/>
    <x v="28"/>
    <x v="1"/>
    <x v="10"/>
    <x v="30"/>
    <n v="19947"/>
    <x v="2"/>
    <n v="19947"/>
    <s v="Bank Transfer"/>
    <x v="4"/>
    <s v="Coffee"/>
  </r>
  <r>
    <s v="T3127"/>
    <s v="U023"/>
    <x v="29"/>
    <x v="29"/>
    <x v="0"/>
    <x v="3"/>
    <x v="31"/>
    <n v="5107"/>
    <x v="25"/>
    <s v="Nill"/>
    <s v="upi"/>
    <x v="3"/>
    <s v="Shopping"/>
  </r>
  <r>
    <s v="T4949"/>
    <s v="U101"/>
    <x v="30"/>
    <x v="30"/>
    <x v="0"/>
    <x v="3"/>
    <x v="32"/>
    <n v="3865"/>
    <x v="26"/>
    <s v="Nill"/>
    <s v="Bank Transfer"/>
    <x v="9"/>
    <s v="unknown"/>
  </r>
  <r>
    <s v="T3563"/>
    <s v="U007"/>
    <x v="31"/>
    <x v="31"/>
    <x v="0"/>
    <x v="8"/>
    <x v="33"/>
    <n v="2407"/>
    <x v="27"/>
    <s v="Nill"/>
    <s v="card"/>
    <x v="7"/>
    <s v="Internet bill"/>
  </r>
  <r>
    <s v="T10891"/>
    <s v="U055"/>
    <x v="32"/>
    <x v="32"/>
    <x v="0"/>
    <x v="3"/>
    <x v="34"/>
    <n v="3085"/>
    <x v="28"/>
    <s v="Nill"/>
    <s v="card"/>
    <x v="9"/>
    <s v="Electricity bill"/>
  </r>
  <r>
    <s v="T10872"/>
    <s v="U080"/>
    <x v="33"/>
    <x v="33"/>
    <x v="0"/>
    <x v="9"/>
    <x v="35"/>
    <n v="5252"/>
    <x v="29"/>
    <s v="Nill"/>
    <s v="unknown"/>
    <x v="6"/>
    <s v="Online course"/>
  </r>
  <r>
    <s v="T6786"/>
    <s v="U017"/>
    <x v="34"/>
    <x v="34"/>
    <x v="0"/>
    <x v="1"/>
    <x v="36"/>
    <n v="1380"/>
    <x v="30"/>
    <s v="Nill"/>
    <s v="Bank Transfer"/>
    <x v="1"/>
    <s v="Train ticket"/>
  </r>
  <r>
    <s v="T3396"/>
    <s v="U136"/>
    <x v="35"/>
    <x v="35"/>
    <x v="0"/>
    <x v="1"/>
    <x v="37"/>
    <n v="7619"/>
    <x v="31"/>
    <s v="Nill"/>
    <s v="Cash"/>
    <x v="8"/>
    <s v="Movie tickets"/>
  </r>
  <r>
    <s v="T1215"/>
    <s v="U150"/>
    <x v="36"/>
    <x v="36"/>
    <x v="0"/>
    <x v="7"/>
    <x v="38"/>
    <n v="4823"/>
    <x v="32"/>
    <s v="Nill"/>
    <s v="Cash"/>
    <x v="0"/>
    <s v="unknown"/>
  </r>
  <r>
    <s v="T5293"/>
    <s v="U044"/>
    <x v="37"/>
    <x v="37"/>
    <x v="0"/>
    <x v="9"/>
    <x v="39"/>
    <n v="8497"/>
    <x v="33"/>
    <s v="Nill"/>
    <s v="unknown"/>
    <x v="5"/>
    <s v="Gym membership"/>
  </r>
  <r>
    <s v="T12220"/>
    <s v="U122"/>
    <x v="38"/>
    <x v="38"/>
    <x v="0"/>
    <x v="3"/>
    <x v="10"/>
    <n v="15120.822802197803"/>
    <x v="8"/>
    <s v="Nill"/>
    <s v="upi"/>
    <x v="4"/>
    <s v="unknown"/>
  </r>
  <r>
    <s v="T2003"/>
    <s v="U149"/>
    <x v="39"/>
    <x v="39"/>
    <x v="0"/>
    <x v="8"/>
    <x v="40"/>
    <n v="8241"/>
    <x v="34"/>
    <s v="Nill"/>
    <s v="upi"/>
    <x v="3"/>
    <s v="Movie tickets"/>
  </r>
  <r>
    <s v="T9452"/>
    <s v="U062"/>
    <x v="40"/>
    <x v="40"/>
    <x v="0"/>
    <x v="1"/>
    <x v="41"/>
    <n v="8579"/>
    <x v="35"/>
    <s v="Nill"/>
    <s v="Bank Transfer"/>
    <x v="0"/>
    <s v="unknown"/>
  </r>
  <r>
    <s v="T4924"/>
    <s v="U082"/>
    <x v="41"/>
    <x v="41"/>
    <x v="0"/>
    <x v="3"/>
    <x v="42"/>
    <n v="235"/>
    <x v="36"/>
    <s v="Nill"/>
    <s v="card"/>
    <x v="7"/>
    <s v="ATM withdrawal"/>
  </r>
  <r>
    <s v="T11911"/>
    <s v="U069"/>
    <x v="42"/>
    <x v="42"/>
    <x v="0"/>
    <x v="3"/>
    <x v="43"/>
    <n v="1263"/>
    <x v="37"/>
    <s v="Nill"/>
    <s v="upi"/>
    <x v="4"/>
    <s v="unknown"/>
  </r>
  <r>
    <s v="T11270"/>
    <s v="U022"/>
    <x v="43"/>
    <x v="43"/>
    <x v="0"/>
    <x v="9"/>
    <x v="44"/>
    <n v="2134"/>
    <x v="38"/>
    <s v="Nill"/>
    <s v="Bank Transfer"/>
    <x v="9"/>
    <s v="Books"/>
  </r>
  <r>
    <s v="T13032"/>
    <s v="U150"/>
    <x v="44"/>
    <x v="44"/>
    <x v="0"/>
    <x v="0"/>
    <x v="45"/>
    <n v="2228"/>
    <x v="39"/>
    <s v="Nill"/>
    <s v="Cash"/>
    <x v="6"/>
    <s v="Movie tickets"/>
  </r>
  <r>
    <s v="T6095"/>
    <s v="U110"/>
    <x v="45"/>
    <x v="45"/>
    <x v="0"/>
    <x v="1"/>
    <x v="46"/>
    <n v="4641"/>
    <x v="40"/>
    <s v="Nill"/>
    <s v="Bank Transfer"/>
    <x v="6"/>
    <s v="ATM withdrawal"/>
  </r>
  <r>
    <s v="T0361"/>
    <s v="U055"/>
    <x v="46"/>
    <x v="46"/>
    <x v="0"/>
    <x v="6"/>
    <x v="47"/>
    <n v="1081"/>
    <x v="41"/>
    <s v="Nill"/>
    <s v="card"/>
    <x v="8"/>
    <s v="unknown"/>
  </r>
  <r>
    <s v="T7314"/>
    <s v="U103"/>
    <x v="47"/>
    <x v="47"/>
    <x v="0"/>
    <x v="4"/>
    <x v="48"/>
    <n v="371"/>
    <x v="42"/>
    <s v="Nill"/>
    <s v="Cash"/>
    <x v="10"/>
    <s v="Uber ride"/>
  </r>
  <r>
    <s v="T11430"/>
    <s v="U108"/>
    <x v="48"/>
    <x v="48"/>
    <x v="0"/>
    <x v="3"/>
    <x v="49"/>
    <n v="225"/>
    <x v="43"/>
    <s v="Nill"/>
    <s v="card"/>
    <x v="8"/>
    <s v="unknown"/>
  </r>
  <r>
    <s v="T12663"/>
    <s v="U052"/>
    <x v="49"/>
    <x v="49"/>
    <x v="0"/>
    <x v="1"/>
    <x v="50"/>
    <n v="23776"/>
    <x v="44"/>
    <s v="Nill"/>
    <s v="upi"/>
    <x v="2"/>
    <s v="Doctor consultation"/>
  </r>
  <r>
    <s v="T6106"/>
    <s v="U008"/>
    <x v="50"/>
    <x v="50"/>
    <x v="0"/>
    <x v="9"/>
    <x v="51"/>
    <n v="6707"/>
    <x v="45"/>
    <s v="Nill"/>
    <s v="card"/>
    <x v="6"/>
    <s v="unknown"/>
  </r>
  <r>
    <s v="T9628"/>
    <s v="U096"/>
    <x v="51"/>
    <x v="51"/>
    <x v="0"/>
    <x v="3"/>
    <x v="52"/>
    <n v="8380"/>
    <x v="46"/>
    <s v="Nill"/>
    <s v="Bank Transfer"/>
    <x v="1"/>
    <s v="unknown"/>
  </r>
  <r>
    <s v="T1623"/>
    <s v="U017"/>
    <x v="52"/>
    <x v="52"/>
    <x v="0"/>
    <x v="6"/>
    <x v="53"/>
    <n v="601"/>
    <x v="47"/>
    <s v="Nill"/>
    <s v="Bank Transfer"/>
    <x v="9"/>
    <s v="Medicine"/>
  </r>
  <r>
    <s v="T13765"/>
    <s v="U034"/>
    <x v="53"/>
    <x v="53"/>
    <x v="0"/>
    <x v="7"/>
    <x v="54"/>
    <n v="3219"/>
    <x v="48"/>
    <s v="Nill"/>
    <s v="Cash"/>
    <x v="1"/>
    <s v="Internet bill"/>
  </r>
  <r>
    <s v="T10347"/>
    <s v="U017"/>
    <x v="3"/>
    <x v="3"/>
    <x v="0"/>
    <x v="1"/>
    <x v="55"/>
    <n v="8182"/>
    <x v="49"/>
    <s v="Nill"/>
    <s v="Cash"/>
    <x v="3"/>
    <s v="test"/>
  </r>
  <r>
    <s v="T5930"/>
    <s v="U011"/>
    <x v="54"/>
    <x v="54"/>
    <x v="0"/>
    <x v="11"/>
    <x v="56"/>
    <n v="8111"/>
    <x v="50"/>
    <s v="Nill"/>
    <s v="unknown"/>
    <x v="6"/>
    <s v="Grocery shopping"/>
  </r>
  <r>
    <s v="T1627"/>
    <s v="U069"/>
    <x v="55"/>
    <x v="55"/>
    <x v="0"/>
    <x v="6"/>
    <x v="57"/>
    <n v="5554"/>
    <x v="51"/>
    <s v="Nill"/>
    <s v="Bank Transfer"/>
    <x v="1"/>
    <s v="EMI payment"/>
  </r>
  <r>
    <s v="T4242"/>
    <s v="U053"/>
    <x v="56"/>
    <x v="56"/>
    <x v="1"/>
    <x v="5"/>
    <x v="58"/>
    <n v="41573"/>
    <x v="2"/>
    <n v="41573"/>
    <s v="Bank Transfer"/>
    <x v="10"/>
    <s v="Coffee"/>
  </r>
  <r>
    <s v="T12437"/>
    <s v="U004"/>
    <x v="57"/>
    <x v="57"/>
    <x v="0"/>
    <x v="0"/>
    <x v="59"/>
    <n v="3110"/>
    <x v="52"/>
    <s v="Nill"/>
    <s v="Bank Transfer"/>
    <x v="7"/>
    <s v="Doctor consultation"/>
  </r>
  <r>
    <s v="T8670"/>
    <s v="U030"/>
    <x v="58"/>
    <x v="58"/>
    <x v="0"/>
    <x v="3"/>
    <x v="60"/>
    <n v="4277"/>
    <x v="53"/>
    <s v="Nill"/>
    <s v="card"/>
    <x v="8"/>
    <s v="Train ticket"/>
  </r>
  <r>
    <s v="T11341"/>
    <s v="U127"/>
    <x v="59"/>
    <x v="59"/>
    <x v="0"/>
    <x v="3"/>
    <x v="61"/>
    <n v="3047"/>
    <x v="54"/>
    <s v="Nill"/>
    <s v="card"/>
    <x v="10"/>
    <s v="Grocery shopping"/>
  </r>
  <r>
    <s v="T9556"/>
    <s v="U008"/>
    <x v="60"/>
    <x v="60"/>
    <x v="1"/>
    <x v="2"/>
    <x v="62"/>
    <n v="10183"/>
    <x v="2"/>
    <n v="10183"/>
    <s v="unknown"/>
    <x v="6"/>
    <s v="unknown"/>
  </r>
  <r>
    <s v="T2449"/>
    <s v="U028"/>
    <x v="61"/>
    <x v="61"/>
    <x v="0"/>
    <x v="8"/>
    <x v="63"/>
    <n v="9888"/>
    <x v="55"/>
    <s v="Nill"/>
    <s v="Bank Transfer"/>
    <x v="6"/>
    <s v="Shopping"/>
  </r>
  <r>
    <s v="T4357"/>
    <s v="U088"/>
    <x v="62"/>
    <x v="62"/>
    <x v="0"/>
    <x v="1"/>
    <x v="64"/>
    <n v="7217"/>
    <x v="56"/>
    <s v="Nill"/>
    <s v="Cash"/>
    <x v="6"/>
    <s v="Internet bill"/>
  </r>
  <r>
    <s v="T0815"/>
    <s v="U141"/>
    <x v="63"/>
    <x v="63"/>
    <x v="0"/>
    <x v="0"/>
    <x v="65"/>
    <n v="9725"/>
    <x v="57"/>
    <s v="Nill"/>
    <s v="Bank Transfer"/>
    <x v="7"/>
    <s v="Restaurant dinner"/>
  </r>
  <r>
    <s v="T7919"/>
    <s v="U086"/>
    <x v="64"/>
    <x v="64"/>
    <x v="0"/>
    <x v="4"/>
    <x v="66"/>
    <n v="9648"/>
    <x v="58"/>
    <s v="Nill"/>
    <s v="Bank Transfer"/>
    <x v="5"/>
    <s v="unknown"/>
  </r>
  <r>
    <s v="T5695"/>
    <s v="U061"/>
    <x v="65"/>
    <x v="65"/>
    <x v="0"/>
    <x v="8"/>
    <x v="67"/>
    <n v="1643"/>
    <x v="59"/>
    <s v="Nill"/>
    <s v="card"/>
    <x v="10"/>
    <s v="Petrol"/>
  </r>
  <r>
    <s v="T2471"/>
    <s v="U066"/>
    <x v="66"/>
    <x v="66"/>
    <x v="0"/>
    <x v="0"/>
    <x v="68"/>
    <n v="7397"/>
    <x v="60"/>
    <s v="Nill"/>
    <s v="Cash"/>
    <x v="6"/>
    <s v="test"/>
  </r>
  <r>
    <s v="T3475"/>
    <s v="U046"/>
    <x v="67"/>
    <x v="67"/>
    <x v="1"/>
    <x v="2"/>
    <x v="69"/>
    <n v="70075"/>
    <x v="2"/>
    <n v="70075"/>
    <s v="upi"/>
    <x v="5"/>
    <s v="Gym membership"/>
  </r>
  <r>
    <s v="T5875"/>
    <s v="U081"/>
    <x v="68"/>
    <x v="68"/>
    <x v="0"/>
    <x v="3"/>
    <x v="70"/>
    <n v="864"/>
    <x v="61"/>
    <s v="Nill"/>
    <s v="Bank Transfer"/>
    <x v="10"/>
    <s v="Shopping"/>
  </r>
  <r>
    <s v="T10128"/>
    <s v="U104"/>
    <x v="69"/>
    <x v="69"/>
    <x v="0"/>
    <x v="12"/>
    <x v="71"/>
    <n v="6228"/>
    <x v="62"/>
    <s v="Nill"/>
    <s v="Cash"/>
    <x v="1"/>
    <s v="unknown"/>
  </r>
  <r>
    <s v="T3491"/>
    <s v="U061"/>
    <x v="70"/>
    <x v="70"/>
    <x v="0"/>
    <x v="0"/>
    <x v="72"/>
    <n v="1206"/>
    <x v="63"/>
    <s v="Nill"/>
    <s v="Cash"/>
    <x v="0"/>
    <s v="Shopping"/>
  </r>
  <r>
    <s v="T2225"/>
    <s v="U028"/>
    <x v="71"/>
    <x v="71"/>
    <x v="0"/>
    <x v="0"/>
    <x v="73"/>
    <n v="8204"/>
    <x v="64"/>
    <s v="Nill"/>
    <s v="card"/>
    <x v="3"/>
    <s v="unknown"/>
  </r>
  <r>
    <s v="T6946"/>
    <s v="U068"/>
    <x v="72"/>
    <x v="72"/>
    <x v="0"/>
    <x v="0"/>
    <x v="74"/>
    <n v="5756"/>
    <x v="65"/>
    <s v="Nill"/>
    <s v="upi"/>
    <x v="1"/>
    <s v="Not found"/>
  </r>
  <r>
    <s v="T2022"/>
    <s v="U056"/>
    <x v="73"/>
    <x v="73"/>
    <x v="0"/>
    <x v="3"/>
    <x v="75"/>
    <n v="5576"/>
    <x v="66"/>
    <s v="Nill"/>
    <s v="Bank Transfer"/>
    <x v="6"/>
    <s v="Medicine"/>
  </r>
  <r>
    <s v="T13529"/>
    <s v="U123"/>
    <x v="74"/>
    <x v="74"/>
    <x v="0"/>
    <x v="9"/>
    <x v="76"/>
    <n v="9771"/>
    <x v="67"/>
    <s v="Nill"/>
    <s v="Bank Transfer"/>
    <x v="8"/>
    <s v="Petrol"/>
  </r>
  <r>
    <s v="T12210"/>
    <s v="U118"/>
    <x v="75"/>
    <x v="75"/>
    <x v="0"/>
    <x v="1"/>
    <x v="77"/>
    <n v="20509"/>
    <x v="68"/>
    <s v="Nill"/>
    <s v="Bank Transfer"/>
    <x v="2"/>
    <s v="Train ticket"/>
  </r>
  <r>
    <s v="T6904"/>
    <s v="U063"/>
    <x v="76"/>
    <x v="76"/>
    <x v="1"/>
    <x v="13"/>
    <x v="78"/>
    <n v="62193"/>
    <x v="2"/>
    <n v="62193"/>
    <s v="upi"/>
    <x v="7"/>
    <s v="Electricity bill"/>
  </r>
  <r>
    <s v="T0713"/>
    <s v="U055"/>
    <x v="77"/>
    <x v="77"/>
    <x v="0"/>
    <x v="6"/>
    <x v="79"/>
    <n v="3367"/>
    <x v="69"/>
    <s v="Nill"/>
    <s v="Bank Transfer"/>
    <x v="0"/>
    <s v="Monthly rent payment"/>
  </r>
  <r>
    <s v="T7323"/>
    <s v="U009"/>
    <x v="78"/>
    <x v="78"/>
    <x v="0"/>
    <x v="9"/>
    <x v="80"/>
    <n v="2721"/>
    <x v="70"/>
    <s v="Nill"/>
    <s v="upi"/>
    <x v="2"/>
    <s v="EMI payment"/>
  </r>
  <r>
    <s v="T10231"/>
    <s v="U089"/>
    <x v="79"/>
    <x v="79"/>
    <x v="0"/>
    <x v="1"/>
    <x v="81"/>
    <n v="2962"/>
    <x v="71"/>
    <s v="Nill"/>
    <s v="upi"/>
    <x v="0"/>
    <s v="Books"/>
  </r>
  <r>
    <s v="T11570"/>
    <s v="U052"/>
    <x v="80"/>
    <x v="80"/>
    <x v="0"/>
    <x v="8"/>
    <x v="82"/>
    <n v="8283"/>
    <x v="72"/>
    <s v="Nill"/>
    <s v="card"/>
    <x v="0"/>
    <s v="unknown"/>
  </r>
  <r>
    <s v="T13926"/>
    <s v="U134"/>
    <x v="81"/>
    <x v="81"/>
    <x v="0"/>
    <x v="6"/>
    <x v="83"/>
    <n v="3520"/>
    <x v="73"/>
    <s v="Nill"/>
    <s v="Cash"/>
    <x v="10"/>
    <s v="test"/>
  </r>
  <r>
    <s v="T0884"/>
    <s v="U115"/>
    <x v="82"/>
    <x v="82"/>
    <x v="0"/>
    <x v="8"/>
    <x v="84"/>
    <n v="5524"/>
    <x v="74"/>
    <s v="Nill"/>
    <s v="Bank Transfer"/>
    <x v="1"/>
    <s v="Fixed deposit"/>
  </r>
  <r>
    <s v="T5033"/>
    <s v="U119"/>
    <x v="83"/>
    <x v="83"/>
    <x v="0"/>
    <x v="8"/>
    <x v="10"/>
    <n v="15120.822802197803"/>
    <x v="8"/>
    <s v="Nill"/>
    <s v="upi"/>
    <x v="8"/>
    <s v="Lunch"/>
  </r>
  <r>
    <s v="T8492"/>
    <s v="U101"/>
    <x v="84"/>
    <x v="84"/>
    <x v="0"/>
    <x v="4"/>
    <x v="85"/>
    <n v="1800"/>
    <x v="75"/>
    <s v="Nill"/>
    <s v="Bank Transfer"/>
    <x v="0"/>
    <s v="Internet bill"/>
  </r>
  <r>
    <s v="T4699"/>
    <s v="U090"/>
    <x v="85"/>
    <x v="85"/>
    <x v="1"/>
    <x v="10"/>
    <x v="86"/>
    <n v="32146"/>
    <x v="2"/>
    <n v="32146"/>
    <s v="Cash"/>
    <x v="6"/>
    <s v="ATM withdrawal"/>
  </r>
  <r>
    <s v="T1841"/>
    <s v="U097"/>
    <x v="86"/>
    <x v="86"/>
    <x v="1"/>
    <x v="7"/>
    <x v="87"/>
    <n v="57173"/>
    <x v="2"/>
    <n v="57173"/>
    <s v="Cash"/>
    <x v="3"/>
    <s v="unknown"/>
  </r>
  <r>
    <s v="T3041"/>
    <s v="U018"/>
    <x v="87"/>
    <x v="87"/>
    <x v="0"/>
    <x v="1"/>
    <x v="88"/>
    <n v="2966"/>
    <x v="76"/>
    <s v="Nill"/>
    <s v="Cash"/>
    <x v="2"/>
    <s v="EMI payment"/>
  </r>
  <r>
    <s v="T7693"/>
    <s v="U116"/>
    <x v="88"/>
    <x v="88"/>
    <x v="0"/>
    <x v="4"/>
    <x v="89"/>
    <n v="1004"/>
    <x v="77"/>
    <s v="Nill"/>
    <s v="Bank Transfer"/>
    <x v="5"/>
    <s v="unknown"/>
  </r>
  <r>
    <s v="T0071"/>
    <s v="U078"/>
    <x v="89"/>
    <x v="89"/>
    <x v="0"/>
    <x v="1"/>
    <x v="90"/>
    <n v="6141"/>
    <x v="78"/>
    <s v="Nill"/>
    <s v="Cash"/>
    <x v="8"/>
    <s v="unknown"/>
  </r>
  <r>
    <s v="T12197"/>
    <s v="U026"/>
    <x v="55"/>
    <x v="55"/>
    <x v="0"/>
    <x v="8"/>
    <x v="91"/>
    <n v="9154"/>
    <x v="79"/>
    <s v="Nill"/>
    <s v="card"/>
    <x v="6"/>
    <s v="unknown"/>
  </r>
  <r>
    <s v="T8563"/>
    <s v="U080"/>
    <x v="90"/>
    <x v="90"/>
    <x v="0"/>
    <x v="8"/>
    <x v="92"/>
    <n v="9705"/>
    <x v="80"/>
    <s v="Nill"/>
    <s v="Cash"/>
    <x v="3"/>
    <s v="misc"/>
  </r>
  <r>
    <s v="T6626"/>
    <s v="U049"/>
    <x v="91"/>
    <x v="91"/>
    <x v="0"/>
    <x v="3"/>
    <x v="93"/>
    <n v="2637"/>
    <x v="81"/>
    <s v="Nill"/>
    <s v="Cash"/>
    <x v="9"/>
    <s v="Fixed deposit"/>
  </r>
  <r>
    <s v="T7302"/>
    <s v="U102"/>
    <x v="92"/>
    <x v="92"/>
    <x v="0"/>
    <x v="3"/>
    <x v="94"/>
    <n v="1073"/>
    <x v="82"/>
    <s v="Nill"/>
    <s v="card"/>
    <x v="4"/>
    <s v="unknown"/>
  </r>
  <r>
    <s v="T6588"/>
    <s v="U125"/>
    <x v="3"/>
    <x v="3"/>
    <x v="0"/>
    <x v="3"/>
    <x v="95"/>
    <n v="425"/>
    <x v="83"/>
    <s v="Nill"/>
    <s v="Bank Transfer"/>
    <x v="9"/>
    <s v="Petrol"/>
  </r>
  <r>
    <s v="T3552"/>
    <s v="U095"/>
    <x v="93"/>
    <x v="93"/>
    <x v="1"/>
    <x v="13"/>
    <x v="96"/>
    <n v="34145"/>
    <x v="2"/>
    <n v="34145"/>
    <s v="Bank Transfer"/>
    <x v="1"/>
    <s v="unknown"/>
  </r>
  <r>
    <s v="T1620"/>
    <s v="U040"/>
    <x v="94"/>
    <x v="94"/>
    <x v="0"/>
    <x v="6"/>
    <x v="97"/>
    <n v="527"/>
    <x v="84"/>
    <s v="Nill"/>
    <s v="Cash"/>
    <x v="10"/>
    <s v="unknown"/>
  </r>
  <r>
    <s v="T7912"/>
    <s v="U115"/>
    <x v="95"/>
    <x v="95"/>
    <x v="0"/>
    <x v="11"/>
    <x v="98"/>
    <n v="5195"/>
    <x v="85"/>
    <s v="Nill"/>
    <s v="upi"/>
    <x v="4"/>
    <s v="Grocery shopping"/>
  </r>
  <r>
    <s v="T3571"/>
    <s v="U064"/>
    <x v="96"/>
    <x v="96"/>
    <x v="0"/>
    <x v="4"/>
    <x v="99"/>
    <n v="3143"/>
    <x v="86"/>
    <s v="Nill"/>
    <s v="upi"/>
    <x v="7"/>
    <s v="Books"/>
  </r>
  <r>
    <s v="T10957"/>
    <s v="U081"/>
    <x v="97"/>
    <x v="97"/>
    <x v="0"/>
    <x v="8"/>
    <x v="100"/>
    <n v="2135"/>
    <x v="87"/>
    <s v="Nill"/>
    <s v="Cash"/>
    <x v="4"/>
    <s v="Medicine"/>
  </r>
  <r>
    <s v="T0294"/>
    <s v="U080"/>
    <x v="98"/>
    <x v="98"/>
    <x v="0"/>
    <x v="3"/>
    <x v="101"/>
    <n v="2163"/>
    <x v="88"/>
    <s v="Nill"/>
    <s v="upi"/>
    <x v="10"/>
    <s v="Doctor consultation"/>
  </r>
  <r>
    <s v="T9414"/>
    <s v="U149"/>
    <x v="69"/>
    <x v="69"/>
    <x v="0"/>
    <x v="1"/>
    <x v="102"/>
    <n v="42078"/>
    <x v="89"/>
    <s v="Nill"/>
    <s v="upi"/>
    <x v="5"/>
    <s v="unknown"/>
  </r>
  <r>
    <s v="T10537"/>
    <s v="U079"/>
    <x v="99"/>
    <x v="99"/>
    <x v="0"/>
    <x v="3"/>
    <x v="103"/>
    <n v="2778"/>
    <x v="90"/>
    <s v="Nill"/>
    <s v="upi"/>
    <x v="0"/>
    <s v="unknown"/>
  </r>
  <r>
    <s v="T1125"/>
    <s v="U105"/>
    <x v="100"/>
    <x v="100"/>
    <x v="0"/>
    <x v="9"/>
    <x v="104"/>
    <n v="3929"/>
    <x v="91"/>
    <s v="Nill"/>
    <s v="card"/>
    <x v="3"/>
    <s v="Shopping"/>
  </r>
  <r>
    <s v="T8978"/>
    <s v="U103"/>
    <x v="96"/>
    <x v="96"/>
    <x v="1"/>
    <x v="2"/>
    <x v="105"/>
    <n v="23852"/>
    <x v="2"/>
    <n v="23852"/>
    <s v="card"/>
    <x v="4"/>
    <s v="Coffee"/>
  </r>
  <r>
    <s v="T5936"/>
    <s v="U022"/>
    <x v="101"/>
    <x v="101"/>
    <x v="0"/>
    <x v="12"/>
    <x v="106"/>
    <n v="6856"/>
    <x v="92"/>
    <s v="Nill"/>
    <s v="unknown"/>
    <x v="7"/>
    <s v="Shopping"/>
  </r>
  <r>
    <s v="T3751"/>
    <s v="U103"/>
    <x v="102"/>
    <x v="102"/>
    <x v="1"/>
    <x v="13"/>
    <x v="107"/>
    <n v="49639"/>
    <x v="2"/>
    <n v="49639"/>
    <s v="unknown"/>
    <x v="1"/>
    <s v="Online course"/>
  </r>
  <r>
    <s v="T0626"/>
    <s v="U122"/>
    <x v="103"/>
    <x v="103"/>
    <x v="0"/>
    <x v="0"/>
    <x v="108"/>
    <n v="3150"/>
    <x v="93"/>
    <s v="Nill"/>
    <s v="Bank Transfer"/>
    <x v="7"/>
    <s v="Coffee"/>
  </r>
  <r>
    <s v="T9500"/>
    <s v="U090"/>
    <x v="104"/>
    <x v="104"/>
    <x v="0"/>
    <x v="9"/>
    <x v="109"/>
    <n v="9408"/>
    <x v="94"/>
    <s v="Nill"/>
    <s v="Cash"/>
    <x v="1"/>
    <s v="Electricity bill"/>
  </r>
  <r>
    <s v="T1537"/>
    <s v="U056"/>
    <x v="105"/>
    <x v="105"/>
    <x v="0"/>
    <x v="4"/>
    <x v="110"/>
    <n v="4114"/>
    <x v="95"/>
    <s v="Nill"/>
    <s v="upi"/>
    <x v="6"/>
    <s v="Fixed deposit"/>
  </r>
  <r>
    <s v="T9185"/>
    <s v="U117"/>
    <x v="106"/>
    <x v="106"/>
    <x v="1"/>
    <x v="13"/>
    <x v="111"/>
    <n v="14249"/>
    <x v="2"/>
    <n v="14249"/>
    <s v="Bank Transfer"/>
    <x v="4"/>
    <s v="unknown"/>
  </r>
  <r>
    <s v="T7093"/>
    <s v="U096"/>
    <x v="107"/>
    <x v="107"/>
    <x v="0"/>
    <x v="8"/>
    <x v="112"/>
    <n v="9681"/>
    <x v="96"/>
    <s v="Nill"/>
    <s v="upi"/>
    <x v="6"/>
    <s v="Online course"/>
  </r>
  <r>
    <s v="T1990"/>
    <s v="U121"/>
    <x v="108"/>
    <x v="108"/>
    <x v="0"/>
    <x v="8"/>
    <x v="113"/>
    <n v="3011"/>
    <x v="97"/>
    <s v="Nill"/>
    <s v="card"/>
    <x v="5"/>
    <s v="Grocery shopping"/>
  </r>
  <r>
    <s v="T4706"/>
    <s v="U150"/>
    <x v="109"/>
    <x v="109"/>
    <x v="0"/>
    <x v="9"/>
    <x v="108"/>
    <n v="3150"/>
    <x v="93"/>
    <s v="Nill"/>
    <s v="upi"/>
    <x v="9"/>
    <s v="N/A"/>
  </r>
  <r>
    <s v="T8416"/>
    <s v="U133"/>
    <x v="110"/>
    <x v="110"/>
    <x v="1"/>
    <x v="13"/>
    <x v="114"/>
    <n v="32789"/>
    <x v="2"/>
    <n v="32789"/>
    <s v="Cash"/>
    <x v="2"/>
    <s v="Lunch"/>
  </r>
  <r>
    <s v="T11932"/>
    <s v="U100"/>
    <x v="111"/>
    <x v="111"/>
    <x v="0"/>
    <x v="6"/>
    <x v="115"/>
    <n v="6704"/>
    <x v="98"/>
    <s v="Nill"/>
    <s v="upi"/>
    <x v="10"/>
    <s v="Doctor consultation"/>
  </r>
  <r>
    <s v="T4683"/>
    <s v="U062"/>
    <x v="112"/>
    <x v="112"/>
    <x v="0"/>
    <x v="8"/>
    <x v="116"/>
    <n v="4427"/>
    <x v="99"/>
    <s v="Nill"/>
    <s v="card"/>
    <x v="7"/>
    <s v="Gym membership"/>
  </r>
  <r>
    <s v="T10528"/>
    <s v="U071"/>
    <x v="113"/>
    <x v="113"/>
    <x v="0"/>
    <x v="4"/>
    <x v="117"/>
    <n v="3121"/>
    <x v="100"/>
    <s v="Nill"/>
    <s v="Bank Transfer"/>
    <x v="8"/>
    <s v="Grocery shopping"/>
  </r>
  <r>
    <s v="T10806"/>
    <s v="U149"/>
    <x v="114"/>
    <x v="114"/>
    <x v="0"/>
    <x v="3"/>
    <x v="118"/>
    <n v="3802"/>
    <x v="101"/>
    <s v="Nill"/>
    <s v="upi"/>
    <x v="9"/>
    <s v="Petrol"/>
  </r>
  <r>
    <s v="T10505"/>
    <s v="U099"/>
    <x v="115"/>
    <x v="115"/>
    <x v="0"/>
    <x v="0"/>
    <x v="119"/>
    <n v="544"/>
    <x v="102"/>
    <s v="Nill"/>
    <s v="upi"/>
    <x v="0"/>
    <s v="Lunch"/>
  </r>
  <r>
    <s v="T13682"/>
    <s v="U145"/>
    <x v="116"/>
    <x v="116"/>
    <x v="0"/>
    <x v="8"/>
    <x v="120"/>
    <n v="9053"/>
    <x v="103"/>
    <s v="Nill"/>
    <s v="unknown"/>
    <x v="4"/>
    <s v="unknown"/>
  </r>
  <r>
    <s v="T12807"/>
    <s v="U029"/>
    <x v="117"/>
    <x v="117"/>
    <x v="1"/>
    <x v="2"/>
    <x v="121"/>
    <n v="32381"/>
    <x v="2"/>
    <n v="32381"/>
    <s v="Bank Transfer"/>
    <x v="7"/>
    <s v="unknown"/>
  </r>
  <r>
    <s v="T6557"/>
    <s v="U007"/>
    <x v="118"/>
    <x v="118"/>
    <x v="0"/>
    <x v="8"/>
    <x v="122"/>
    <n v="8305"/>
    <x v="104"/>
    <s v="Nill"/>
    <s v="upi"/>
    <x v="8"/>
    <s v="test"/>
  </r>
  <r>
    <s v="T0409"/>
    <s v="U137"/>
    <x v="119"/>
    <x v="119"/>
    <x v="0"/>
    <x v="6"/>
    <x v="123"/>
    <n v="8841"/>
    <x v="105"/>
    <s v="Nill"/>
    <s v="unknown"/>
    <x v="10"/>
    <s v="unknown"/>
  </r>
  <r>
    <s v="T10784"/>
    <s v="U022"/>
    <x v="120"/>
    <x v="120"/>
    <x v="1"/>
    <x v="10"/>
    <x v="124"/>
    <n v="46219"/>
    <x v="2"/>
    <n v="46219"/>
    <s v="card"/>
    <x v="4"/>
    <s v="N/A"/>
  </r>
  <r>
    <s v="T2457"/>
    <s v="U054"/>
    <x v="86"/>
    <x v="86"/>
    <x v="0"/>
    <x v="8"/>
    <x v="125"/>
    <n v="9800"/>
    <x v="106"/>
    <s v="Nill"/>
    <s v="Cash"/>
    <x v="10"/>
    <s v="misc"/>
  </r>
  <r>
    <s v="T12395"/>
    <s v="U062"/>
    <x v="52"/>
    <x v="52"/>
    <x v="0"/>
    <x v="6"/>
    <x v="126"/>
    <n v="4451"/>
    <x v="107"/>
    <s v="Nill"/>
    <s v="Bank Transfer"/>
    <x v="10"/>
    <s v="unknown"/>
  </r>
  <r>
    <s v="T1882"/>
    <s v="U101"/>
    <x v="121"/>
    <x v="121"/>
    <x v="0"/>
    <x v="0"/>
    <x v="127"/>
    <n v="9358"/>
    <x v="108"/>
    <s v="Nill"/>
    <s v="card"/>
    <x v="10"/>
    <s v="unknown"/>
  </r>
  <r>
    <s v="T13924"/>
    <s v="U035"/>
    <x v="122"/>
    <x v="122"/>
    <x v="0"/>
    <x v="1"/>
    <x v="128"/>
    <n v="3569"/>
    <x v="109"/>
    <s v="Nill"/>
    <s v="Cash"/>
    <x v="9"/>
    <s v="Online course"/>
  </r>
  <r>
    <s v="T13453"/>
    <s v="U110"/>
    <x v="123"/>
    <x v="123"/>
    <x v="0"/>
    <x v="1"/>
    <x v="129"/>
    <n v="2979"/>
    <x v="110"/>
    <s v="Nill"/>
    <s v="Cash"/>
    <x v="1"/>
    <s v="Medicine"/>
  </r>
  <r>
    <s v="T9836"/>
    <s v="U058"/>
    <x v="124"/>
    <x v="124"/>
    <x v="0"/>
    <x v="8"/>
    <x v="130"/>
    <n v="1863"/>
    <x v="111"/>
    <s v="Nill"/>
    <s v="Bank Transfer"/>
    <x v="1"/>
    <s v="Lunch"/>
  </r>
  <r>
    <s v="T13845"/>
    <s v="U066"/>
    <x v="125"/>
    <x v="125"/>
    <x v="0"/>
    <x v="1"/>
    <x v="131"/>
    <n v="34984"/>
    <x v="112"/>
    <s v="Nill"/>
    <s v="upi"/>
    <x v="7"/>
    <s v="Petrol"/>
  </r>
  <r>
    <s v="T11381"/>
    <s v="U107"/>
    <x v="126"/>
    <x v="126"/>
    <x v="1"/>
    <x v="10"/>
    <x v="132"/>
    <n v="44031"/>
    <x v="2"/>
    <n v="44031"/>
    <s v="Bank Transfer"/>
    <x v="1"/>
    <s v="Online course"/>
  </r>
  <r>
    <s v="T5758"/>
    <s v="U049"/>
    <x v="127"/>
    <x v="127"/>
    <x v="0"/>
    <x v="1"/>
    <x v="133"/>
    <n v="21771"/>
    <x v="113"/>
    <s v="Nill"/>
    <s v="upi"/>
    <x v="7"/>
    <s v="unknown"/>
  </r>
  <r>
    <s v="T12059"/>
    <s v="U077"/>
    <x v="128"/>
    <x v="128"/>
    <x v="1"/>
    <x v="5"/>
    <x v="134"/>
    <n v="24920"/>
    <x v="2"/>
    <n v="24920"/>
    <s v="upi"/>
    <x v="7"/>
    <s v="Online course"/>
  </r>
  <r>
    <s v="T8889"/>
    <s v="U131"/>
    <x v="129"/>
    <x v="129"/>
    <x v="0"/>
    <x v="11"/>
    <x v="135"/>
    <n v="8861"/>
    <x v="114"/>
    <s v="Nill"/>
    <s v="Bank Transfer"/>
    <x v="8"/>
    <s v="unknown"/>
  </r>
  <r>
    <s v="T10327"/>
    <s v="U136"/>
    <x v="130"/>
    <x v="41"/>
    <x v="0"/>
    <x v="9"/>
    <x v="136"/>
    <n v="4201"/>
    <x v="115"/>
    <s v="Nill"/>
    <s v="Bank Transfer"/>
    <x v="5"/>
    <s v="Online course"/>
  </r>
  <r>
    <s v="T4967"/>
    <s v="U113"/>
    <x v="131"/>
    <x v="130"/>
    <x v="0"/>
    <x v="1"/>
    <x v="137"/>
    <n v="47473"/>
    <x v="116"/>
    <s v="Nill"/>
    <s v="Bank Transfer"/>
    <x v="1"/>
    <s v="Online course"/>
  </r>
  <r>
    <s v="T11849"/>
    <s v="U040"/>
    <x v="132"/>
    <x v="131"/>
    <x v="1"/>
    <x v="10"/>
    <x v="138"/>
    <n v="75822"/>
    <x v="2"/>
    <n v="75822"/>
    <s v="Cash"/>
    <x v="10"/>
    <s v="Medicine"/>
  </r>
  <r>
    <s v="T5167"/>
    <s v="U014"/>
    <x v="133"/>
    <x v="132"/>
    <x v="0"/>
    <x v="3"/>
    <x v="139"/>
    <n v="677"/>
    <x v="117"/>
    <s v="Nill"/>
    <s v="Bank Transfer"/>
    <x v="10"/>
    <s v="Medicine"/>
  </r>
  <r>
    <s v="T3952"/>
    <s v="U120"/>
    <x v="134"/>
    <x v="133"/>
    <x v="0"/>
    <x v="1"/>
    <x v="140"/>
    <n v="43252"/>
    <x v="118"/>
    <s v="Nill"/>
    <s v="Cash"/>
    <x v="6"/>
    <s v="test"/>
  </r>
  <r>
    <s v="T5844"/>
    <s v="U086"/>
    <x v="135"/>
    <x v="134"/>
    <x v="0"/>
    <x v="3"/>
    <x v="141"/>
    <n v="2615"/>
    <x v="119"/>
    <s v="Nill"/>
    <s v="card"/>
    <x v="4"/>
    <s v="ATM withdrawal"/>
  </r>
  <r>
    <s v="T13040"/>
    <s v="U009"/>
    <x v="136"/>
    <x v="135"/>
    <x v="0"/>
    <x v="3"/>
    <x v="142"/>
    <n v="2855"/>
    <x v="120"/>
    <s v="Nill"/>
    <s v="upi"/>
    <x v="2"/>
    <s v="misc"/>
  </r>
  <r>
    <s v="T3167"/>
    <s v="U145"/>
    <x v="137"/>
    <x v="136"/>
    <x v="1"/>
    <x v="13"/>
    <x v="143"/>
    <n v="57358"/>
    <x v="2"/>
    <n v="57358"/>
    <s v="Cash"/>
    <x v="6"/>
    <s v="unknown"/>
  </r>
  <r>
    <s v="T8867"/>
    <s v="U105"/>
    <x v="138"/>
    <x v="137"/>
    <x v="0"/>
    <x v="12"/>
    <x v="144"/>
    <n v="6348"/>
    <x v="121"/>
    <s v="Nill"/>
    <s v="card"/>
    <x v="10"/>
    <s v="Medicine"/>
  </r>
  <r>
    <s v="T5926"/>
    <s v="U016"/>
    <x v="139"/>
    <x v="138"/>
    <x v="0"/>
    <x v="1"/>
    <x v="145"/>
    <n v="4583"/>
    <x v="122"/>
    <s v="Nill"/>
    <s v="Bank Transfer"/>
    <x v="3"/>
    <s v="Lunch"/>
  </r>
  <r>
    <s v="T13662"/>
    <s v="U129"/>
    <x v="140"/>
    <x v="139"/>
    <x v="0"/>
    <x v="14"/>
    <x v="146"/>
    <n v="4952"/>
    <x v="123"/>
    <s v="Nill"/>
    <s v="Cash"/>
    <x v="1"/>
    <s v="ATM withdrawal"/>
  </r>
  <r>
    <s v="T13593"/>
    <s v="U018"/>
    <x v="141"/>
    <x v="140"/>
    <x v="0"/>
    <x v="7"/>
    <x v="147"/>
    <n v="3941"/>
    <x v="124"/>
    <s v="Nill"/>
    <s v="Bank Transfer"/>
    <x v="10"/>
    <s v="Lunch"/>
  </r>
  <r>
    <s v="T12216"/>
    <s v="U116"/>
    <x v="142"/>
    <x v="141"/>
    <x v="1"/>
    <x v="7"/>
    <x v="148"/>
    <n v="47262"/>
    <x v="2"/>
    <n v="47262"/>
    <s v="Bank Transfer"/>
    <x v="5"/>
    <s v="unknown"/>
  </r>
  <r>
    <s v="T8335"/>
    <s v="U001"/>
    <x v="143"/>
    <x v="44"/>
    <x v="0"/>
    <x v="4"/>
    <x v="149"/>
    <n v="1998"/>
    <x v="125"/>
    <s v="Nill"/>
    <s v="upi"/>
    <x v="4"/>
    <s v="Internet bill"/>
  </r>
  <r>
    <s v="T4933"/>
    <s v="U018"/>
    <x v="144"/>
    <x v="142"/>
    <x v="0"/>
    <x v="3"/>
    <x v="150"/>
    <n v="8124"/>
    <x v="126"/>
    <s v="Nill"/>
    <s v="unknown"/>
    <x v="8"/>
    <s v="Coffee"/>
  </r>
  <r>
    <s v="T7036"/>
    <s v="U105"/>
    <x v="145"/>
    <x v="143"/>
    <x v="0"/>
    <x v="8"/>
    <x v="151"/>
    <n v="1326"/>
    <x v="127"/>
    <s v="Nill"/>
    <s v="card"/>
    <x v="3"/>
    <s v="Not found"/>
  </r>
  <r>
    <s v="T9072"/>
    <s v="U066"/>
    <x v="146"/>
    <x v="144"/>
    <x v="0"/>
    <x v="11"/>
    <x v="152"/>
    <n v="4328"/>
    <x v="128"/>
    <s v="Nill"/>
    <s v="upi"/>
    <x v="10"/>
    <s v="Medicine"/>
  </r>
  <r>
    <s v="T8270"/>
    <s v="U081"/>
    <x v="147"/>
    <x v="145"/>
    <x v="0"/>
    <x v="3"/>
    <x v="153"/>
    <n v="276"/>
    <x v="129"/>
    <s v="Nill"/>
    <s v="Bank Transfer"/>
    <x v="8"/>
    <s v="Restaurant dinner"/>
  </r>
  <r>
    <s v="T12265"/>
    <s v="U094"/>
    <x v="148"/>
    <x v="146"/>
    <x v="0"/>
    <x v="6"/>
    <x v="154"/>
    <n v="4215"/>
    <x v="130"/>
    <s v="Nill"/>
    <s v="card"/>
    <x v="1"/>
    <s v="ATM withdrawal"/>
  </r>
  <r>
    <s v="T4637"/>
    <s v="U005"/>
    <x v="149"/>
    <x v="147"/>
    <x v="0"/>
    <x v="6"/>
    <x v="155"/>
    <n v="6316"/>
    <x v="131"/>
    <s v="Nill"/>
    <s v="upi"/>
    <x v="8"/>
    <s v="ATM withdrawal"/>
  </r>
  <r>
    <s v="T9022"/>
    <s v="U089"/>
    <x v="150"/>
    <x v="148"/>
    <x v="0"/>
    <x v="1"/>
    <x v="156"/>
    <n v="21376"/>
    <x v="132"/>
    <s v="Nill"/>
    <s v="upi"/>
    <x v="7"/>
    <s v="test"/>
  </r>
  <r>
    <s v="T7016"/>
    <s v="U145"/>
    <x v="151"/>
    <x v="149"/>
    <x v="0"/>
    <x v="6"/>
    <x v="157"/>
    <n v="7391"/>
    <x v="133"/>
    <s v="Nill"/>
    <s v="Cash"/>
    <x v="1"/>
    <s v="Uber ride"/>
  </r>
  <r>
    <s v="T12109"/>
    <s v="U144"/>
    <x v="152"/>
    <x v="150"/>
    <x v="0"/>
    <x v="8"/>
    <x v="158"/>
    <n v="2990"/>
    <x v="134"/>
    <s v="Nill"/>
    <s v="upi"/>
    <x v="10"/>
    <s v="Train ticket"/>
  </r>
  <r>
    <s v="T9952"/>
    <s v="U045"/>
    <x v="153"/>
    <x v="151"/>
    <x v="0"/>
    <x v="6"/>
    <x v="159"/>
    <n v="2230"/>
    <x v="135"/>
    <s v="Nill"/>
    <s v="unknown"/>
    <x v="6"/>
    <s v="ATM withdrawal"/>
  </r>
  <r>
    <s v="T13401"/>
    <s v="U064"/>
    <x v="154"/>
    <x v="152"/>
    <x v="0"/>
    <x v="3"/>
    <x v="160"/>
    <n v="6197"/>
    <x v="136"/>
    <s v="Nill"/>
    <s v="upi"/>
    <x v="3"/>
    <s v="Not found"/>
  </r>
  <r>
    <s v="T11100"/>
    <s v="U142"/>
    <x v="155"/>
    <x v="153"/>
    <x v="0"/>
    <x v="3"/>
    <x v="161"/>
    <n v="6502"/>
    <x v="137"/>
    <s v="Nill"/>
    <s v="card"/>
    <x v="9"/>
    <s v="Shopping"/>
  </r>
  <r>
    <s v="T4072"/>
    <s v="U067"/>
    <x v="156"/>
    <x v="154"/>
    <x v="0"/>
    <x v="12"/>
    <x v="162"/>
    <n v="6902"/>
    <x v="138"/>
    <s v="Nill"/>
    <s v="card"/>
    <x v="6"/>
    <s v="Petrol"/>
  </r>
  <r>
    <s v="T8303"/>
    <s v="U091"/>
    <x v="157"/>
    <x v="155"/>
    <x v="0"/>
    <x v="3"/>
    <x v="10"/>
    <n v="15120.822802197803"/>
    <x v="8"/>
    <s v="Nill"/>
    <s v="Bank Transfer"/>
    <x v="5"/>
    <s v="Not found"/>
  </r>
  <r>
    <s v="T9115"/>
    <s v="U060"/>
    <x v="158"/>
    <x v="156"/>
    <x v="0"/>
    <x v="4"/>
    <x v="163"/>
    <n v="9939"/>
    <x v="139"/>
    <s v="Nill"/>
    <s v="Bank Transfer"/>
    <x v="8"/>
    <s v="unknown"/>
  </r>
  <r>
    <s v="T2668"/>
    <s v="U126"/>
    <x v="159"/>
    <x v="157"/>
    <x v="0"/>
    <x v="1"/>
    <x v="164"/>
    <n v="1518"/>
    <x v="140"/>
    <s v="Nill"/>
    <s v="Bank Transfer"/>
    <x v="4"/>
    <s v="Electricity bill"/>
  </r>
  <r>
    <s v="T1256"/>
    <s v="U035"/>
    <x v="160"/>
    <x v="158"/>
    <x v="0"/>
    <x v="8"/>
    <x v="165"/>
    <n v="2985"/>
    <x v="141"/>
    <s v="Nill"/>
    <s v="Cash"/>
    <x v="6"/>
    <s v="Restaurant dinner"/>
  </r>
  <r>
    <s v="T7219"/>
    <s v="U002"/>
    <x v="161"/>
    <x v="159"/>
    <x v="0"/>
    <x v="0"/>
    <x v="108"/>
    <n v="3150"/>
    <x v="93"/>
    <s v="Nill"/>
    <s v="Bank Transfer"/>
    <x v="0"/>
    <s v="unknown"/>
  </r>
  <r>
    <s v="T7845"/>
    <s v="U014"/>
    <x v="162"/>
    <x v="160"/>
    <x v="0"/>
    <x v="6"/>
    <x v="166"/>
    <n v="6671"/>
    <x v="142"/>
    <s v="Nill"/>
    <s v="upi"/>
    <x v="0"/>
    <s v="Doctor consultation"/>
  </r>
  <r>
    <s v="T4986"/>
    <s v="U124"/>
    <x v="163"/>
    <x v="161"/>
    <x v="0"/>
    <x v="8"/>
    <x v="167"/>
    <n v="1409"/>
    <x v="143"/>
    <s v="Nill"/>
    <s v="upi"/>
    <x v="7"/>
    <s v="Not found"/>
  </r>
  <r>
    <s v="T1883"/>
    <s v="U047"/>
    <x v="164"/>
    <x v="162"/>
    <x v="0"/>
    <x v="0"/>
    <x v="168"/>
    <n v="2497"/>
    <x v="144"/>
    <s v="Nill"/>
    <s v="Bank Transfer"/>
    <x v="5"/>
    <s v="unknown"/>
  </r>
  <r>
    <s v="T7034"/>
    <s v="U108"/>
    <x v="165"/>
    <x v="163"/>
    <x v="0"/>
    <x v="6"/>
    <x v="169"/>
    <n v="6324"/>
    <x v="145"/>
    <s v="Nill"/>
    <s v="card"/>
    <x v="7"/>
    <s v="Gym membership"/>
  </r>
  <r>
    <s v="T11835"/>
    <s v="U125"/>
    <x v="166"/>
    <x v="164"/>
    <x v="0"/>
    <x v="0"/>
    <x v="170"/>
    <n v="7315"/>
    <x v="146"/>
    <s v="Nill"/>
    <s v="Bank Transfer"/>
    <x v="9"/>
    <s v="N/A"/>
  </r>
  <r>
    <s v="T0231"/>
    <s v="U031"/>
    <x v="167"/>
    <x v="165"/>
    <x v="0"/>
    <x v="6"/>
    <x v="171"/>
    <n v="7080"/>
    <x v="147"/>
    <s v="Nill"/>
    <s v="Bank Transfer"/>
    <x v="5"/>
    <s v="test"/>
  </r>
  <r>
    <s v="T2017"/>
    <s v="U090"/>
    <x v="168"/>
    <x v="166"/>
    <x v="0"/>
    <x v="6"/>
    <x v="172"/>
    <n v="7821"/>
    <x v="148"/>
    <s v="Nill"/>
    <s v="Cash"/>
    <x v="8"/>
    <s v="test"/>
  </r>
  <r>
    <s v="T9479"/>
    <s v="U114"/>
    <x v="169"/>
    <x v="167"/>
    <x v="0"/>
    <x v="1"/>
    <x v="173"/>
    <n v="988"/>
    <x v="149"/>
    <s v="Nill"/>
    <s v="upi"/>
    <x v="3"/>
    <s v="Restaurant dinner"/>
  </r>
  <r>
    <s v="T1312"/>
    <s v="U070"/>
    <x v="34"/>
    <x v="34"/>
    <x v="1"/>
    <x v="2"/>
    <x v="174"/>
    <n v="23504"/>
    <x v="2"/>
    <n v="23504"/>
    <s v="Bank Transfer"/>
    <x v="1"/>
    <s v="Electricity bill"/>
  </r>
  <r>
    <s v="T0010"/>
    <s v="U017"/>
    <x v="170"/>
    <x v="168"/>
    <x v="0"/>
    <x v="12"/>
    <x v="175"/>
    <n v="1064"/>
    <x v="150"/>
    <s v="Nill"/>
    <s v="Cash"/>
    <x v="0"/>
    <s v="Books"/>
  </r>
  <r>
    <s v="T11433"/>
    <s v="U083"/>
    <x v="171"/>
    <x v="169"/>
    <x v="0"/>
    <x v="3"/>
    <x v="176"/>
    <n v="2683"/>
    <x v="151"/>
    <s v="Nill"/>
    <s v="Cash"/>
    <x v="6"/>
    <s v="Not found"/>
  </r>
  <r>
    <s v="T4446"/>
    <s v="U017"/>
    <x v="172"/>
    <x v="170"/>
    <x v="0"/>
    <x v="3"/>
    <x v="177"/>
    <n v="5022"/>
    <x v="152"/>
    <s v="Nill"/>
    <s v="Cash"/>
    <x v="1"/>
    <s v="Internet bill"/>
  </r>
  <r>
    <s v="T2782"/>
    <s v="U093"/>
    <x v="173"/>
    <x v="171"/>
    <x v="0"/>
    <x v="3"/>
    <x v="178"/>
    <n v="7849"/>
    <x v="153"/>
    <s v="Nill"/>
    <s v="unknown"/>
    <x v="8"/>
    <s v="Petrol"/>
  </r>
  <r>
    <s v="T11291"/>
    <s v="U040"/>
    <x v="174"/>
    <x v="172"/>
    <x v="1"/>
    <x v="13"/>
    <x v="179"/>
    <n v="33565"/>
    <x v="2"/>
    <n v="33565"/>
    <s v="Cash"/>
    <x v="1"/>
    <s v="Gym membership"/>
  </r>
  <r>
    <s v="T6224"/>
    <s v="U092"/>
    <x v="175"/>
    <x v="173"/>
    <x v="1"/>
    <x v="5"/>
    <x v="180"/>
    <n v="66678"/>
    <x v="2"/>
    <n v="66678"/>
    <s v="Bank Transfer"/>
    <x v="7"/>
    <s v="EMI payment"/>
  </r>
  <r>
    <s v="T4124"/>
    <s v="U119"/>
    <x v="176"/>
    <x v="174"/>
    <x v="0"/>
    <x v="0"/>
    <x v="181"/>
    <n v="6304"/>
    <x v="154"/>
    <s v="Nill"/>
    <s v="upi"/>
    <x v="8"/>
    <s v="Fixed deposit"/>
  </r>
  <r>
    <s v="T10115"/>
    <s v="U091"/>
    <x v="177"/>
    <x v="175"/>
    <x v="1"/>
    <x v="2"/>
    <x v="182"/>
    <n v="50009"/>
    <x v="2"/>
    <n v="50009"/>
    <s v="Bank Transfer"/>
    <x v="8"/>
    <s v="unknown"/>
  </r>
  <r>
    <s v="T3531"/>
    <s v="U134"/>
    <x v="178"/>
    <x v="176"/>
    <x v="0"/>
    <x v="3"/>
    <x v="183"/>
    <n v="5811"/>
    <x v="155"/>
    <s v="Nill"/>
    <s v="Bank Transfer"/>
    <x v="8"/>
    <s v="unknown"/>
  </r>
  <r>
    <s v="T1066"/>
    <s v="U057"/>
    <x v="179"/>
    <x v="177"/>
    <x v="0"/>
    <x v="4"/>
    <x v="184"/>
    <n v="7713"/>
    <x v="156"/>
    <s v="Nill"/>
    <s v="upi"/>
    <x v="8"/>
    <s v="Monthly rent payment"/>
  </r>
  <r>
    <s v="T9037"/>
    <s v="U142"/>
    <x v="180"/>
    <x v="178"/>
    <x v="1"/>
    <x v="5"/>
    <x v="185"/>
    <n v="70693"/>
    <x v="2"/>
    <n v="70693"/>
    <s v="Cash"/>
    <x v="0"/>
    <s v="unknown"/>
  </r>
  <r>
    <s v="T12498"/>
    <s v="U012"/>
    <x v="181"/>
    <x v="179"/>
    <x v="0"/>
    <x v="9"/>
    <x v="186"/>
    <n v="2603"/>
    <x v="157"/>
    <s v="Nill"/>
    <s v="Cash"/>
    <x v="5"/>
    <s v="Monthly rent payment"/>
  </r>
  <r>
    <s v="T6556"/>
    <s v="U037"/>
    <x v="182"/>
    <x v="180"/>
    <x v="0"/>
    <x v="3"/>
    <x v="187"/>
    <n v="314"/>
    <x v="158"/>
    <s v="Nill"/>
    <s v="Cash"/>
    <x v="10"/>
    <s v="Train ticket"/>
  </r>
  <r>
    <s v="T4233"/>
    <s v="U089"/>
    <x v="183"/>
    <x v="181"/>
    <x v="0"/>
    <x v="0"/>
    <x v="188"/>
    <n v="9806"/>
    <x v="159"/>
    <s v="Nill"/>
    <s v="Bank Transfer"/>
    <x v="7"/>
    <s v="Petrol"/>
  </r>
  <r>
    <s v="T1925"/>
    <s v="U060"/>
    <x v="23"/>
    <x v="23"/>
    <x v="0"/>
    <x v="3"/>
    <x v="189"/>
    <n v="3762"/>
    <x v="160"/>
    <s v="Nill"/>
    <s v="Bank Transfer"/>
    <x v="1"/>
    <s v="unknown"/>
  </r>
  <r>
    <s v="T9678"/>
    <s v="U092"/>
    <x v="184"/>
    <x v="182"/>
    <x v="0"/>
    <x v="8"/>
    <x v="190"/>
    <n v="9891"/>
    <x v="161"/>
    <s v="Nill"/>
    <s v="upi"/>
    <x v="3"/>
    <s v="Grocery shopping"/>
  </r>
  <r>
    <s v="T3468"/>
    <s v="U143"/>
    <x v="185"/>
    <x v="183"/>
    <x v="0"/>
    <x v="9"/>
    <x v="191"/>
    <n v="6869"/>
    <x v="162"/>
    <s v="Nill"/>
    <s v="card"/>
    <x v="9"/>
    <s v="Not found"/>
  </r>
  <r>
    <s v="T2217"/>
    <s v="U113"/>
    <x v="186"/>
    <x v="184"/>
    <x v="0"/>
    <x v="1"/>
    <x v="192"/>
    <n v="6756"/>
    <x v="163"/>
    <s v="Nill"/>
    <s v="Bank Transfer"/>
    <x v="8"/>
    <s v="unknown"/>
  </r>
  <r>
    <s v="T7901"/>
    <s v="U028"/>
    <x v="187"/>
    <x v="185"/>
    <x v="0"/>
    <x v="4"/>
    <x v="193"/>
    <n v="356"/>
    <x v="164"/>
    <s v="Nill"/>
    <s v="Bank Transfer"/>
    <x v="9"/>
    <s v="unknown"/>
  </r>
  <r>
    <s v="T9324"/>
    <s v="U093"/>
    <x v="86"/>
    <x v="86"/>
    <x v="1"/>
    <x v="7"/>
    <x v="194"/>
    <n v="20156"/>
    <x v="2"/>
    <n v="20156"/>
    <s v="Cash"/>
    <x v="8"/>
    <s v="unknown"/>
  </r>
  <r>
    <s v="T6515"/>
    <s v="U121"/>
    <x v="188"/>
    <x v="186"/>
    <x v="0"/>
    <x v="9"/>
    <x v="195"/>
    <n v="3790"/>
    <x v="165"/>
    <s v="Nill"/>
    <s v="card"/>
    <x v="0"/>
    <s v="unknown"/>
  </r>
  <r>
    <s v="T3401"/>
    <s v="U071"/>
    <x v="189"/>
    <x v="187"/>
    <x v="0"/>
    <x v="12"/>
    <x v="196"/>
    <n v="6766"/>
    <x v="166"/>
    <s v="Nill"/>
    <s v="card"/>
    <x v="2"/>
    <s v="Gym membership"/>
  </r>
  <r>
    <s v="T2246"/>
    <s v="U061"/>
    <x v="190"/>
    <x v="188"/>
    <x v="0"/>
    <x v="3"/>
    <x v="197"/>
    <n v="3765"/>
    <x v="167"/>
    <s v="Nill"/>
    <s v="Bank Transfer"/>
    <x v="7"/>
    <s v="Fixed deposit"/>
  </r>
  <r>
    <s v="T10375"/>
    <s v="U013"/>
    <x v="191"/>
    <x v="189"/>
    <x v="1"/>
    <x v="2"/>
    <x v="10"/>
    <n v="15120.822802197803"/>
    <x v="2"/>
    <n v="15120.822802197803"/>
    <s v="Bank Transfer"/>
    <x v="6"/>
    <s v="Electricity bill"/>
  </r>
  <r>
    <s v="T7960"/>
    <s v="U028"/>
    <x v="192"/>
    <x v="190"/>
    <x v="0"/>
    <x v="4"/>
    <x v="198"/>
    <n v="4638"/>
    <x v="168"/>
    <s v="Nill"/>
    <s v="card"/>
    <x v="3"/>
    <s v="unknown"/>
  </r>
  <r>
    <s v="T13793"/>
    <s v="U141"/>
    <x v="193"/>
    <x v="191"/>
    <x v="1"/>
    <x v="2"/>
    <x v="199"/>
    <n v="11650"/>
    <x v="2"/>
    <n v="11650"/>
    <s v="Cash"/>
    <x v="1"/>
    <s v="unknown"/>
  </r>
  <r>
    <s v="T7316"/>
    <s v="U144"/>
    <x v="194"/>
    <x v="192"/>
    <x v="0"/>
    <x v="6"/>
    <x v="200"/>
    <n v="5790"/>
    <x v="169"/>
    <s v="Nill"/>
    <s v="unknown"/>
    <x v="8"/>
    <s v="misc"/>
  </r>
  <r>
    <s v="T4875"/>
    <s v="U076"/>
    <x v="195"/>
    <x v="193"/>
    <x v="0"/>
    <x v="1"/>
    <x v="201"/>
    <n v="12435"/>
    <x v="170"/>
    <s v="Nill"/>
    <s v="upi"/>
    <x v="4"/>
    <s v="unknown"/>
  </r>
  <r>
    <s v="T1216"/>
    <s v="U042"/>
    <x v="196"/>
    <x v="194"/>
    <x v="1"/>
    <x v="10"/>
    <x v="202"/>
    <n v="31183"/>
    <x v="2"/>
    <n v="31183"/>
    <s v="Bank Transfer"/>
    <x v="9"/>
    <s v="Shopping"/>
  </r>
  <r>
    <s v="T11898"/>
    <s v="U035"/>
    <x v="197"/>
    <x v="195"/>
    <x v="0"/>
    <x v="3"/>
    <x v="203"/>
    <n v="775"/>
    <x v="171"/>
    <s v="Nill"/>
    <s v="upi"/>
    <x v="3"/>
    <s v="Monthly rent payment"/>
  </r>
  <r>
    <s v="T3071"/>
    <s v="U139"/>
    <x v="198"/>
    <x v="196"/>
    <x v="0"/>
    <x v="4"/>
    <x v="204"/>
    <n v="8230"/>
    <x v="172"/>
    <s v="Nill"/>
    <s v="Bank Transfer"/>
    <x v="4"/>
    <s v="EMI payment"/>
  </r>
  <r>
    <s v="T12468"/>
    <s v="U043"/>
    <x v="199"/>
    <x v="197"/>
    <x v="0"/>
    <x v="1"/>
    <x v="205"/>
    <n v="5582"/>
    <x v="173"/>
    <s v="Nill"/>
    <s v="upi"/>
    <x v="0"/>
    <s v="Monthly rent payment"/>
  </r>
  <r>
    <s v="T5511"/>
    <s v="U114"/>
    <x v="200"/>
    <x v="24"/>
    <x v="0"/>
    <x v="3"/>
    <x v="206"/>
    <n v="5918"/>
    <x v="174"/>
    <s v="Nill"/>
    <s v="Bank Transfer"/>
    <x v="8"/>
    <s v="unknown"/>
  </r>
  <r>
    <s v="T5607"/>
    <s v="U093"/>
    <x v="201"/>
    <x v="198"/>
    <x v="1"/>
    <x v="10"/>
    <x v="207"/>
    <n v="73830"/>
    <x v="2"/>
    <n v="73830"/>
    <s v="upi"/>
    <x v="8"/>
    <s v="Not found"/>
  </r>
  <r>
    <s v="T9770"/>
    <s v="U040"/>
    <x v="202"/>
    <x v="199"/>
    <x v="0"/>
    <x v="1"/>
    <x v="208"/>
    <n v="23340"/>
    <x v="175"/>
    <s v="Nill"/>
    <s v="card"/>
    <x v="4"/>
    <s v="Doctor consultation"/>
  </r>
  <r>
    <s v="T11278"/>
    <s v="U009"/>
    <x v="203"/>
    <x v="200"/>
    <x v="0"/>
    <x v="1"/>
    <x v="209"/>
    <n v="40813"/>
    <x v="176"/>
    <s v="Nill"/>
    <s v="upi"/>
    <x v="6"/>
    <s v="Books"/>
  </r>
  <r>
    <s v="T10427"/>
    <s v="U077"/>
    <x v="204"/>
    <x v="201"/>
    <x v="0"/>
    <x v="6"/>
    <x v="210"/>
    <n v="3414"/>
    <x v="177"/>
    <s v="Nill"/>
    <s v="upi"/>
    <x v="8"/>
    <s v="test"/>
  </r>
  <r>
    <s v="T1377"/>
    <s v="U044"/>
    <x v="205"/>
    <x v="202"/>
    <x v="0"/>
    <x v="3"/>
    <x v="211"/>
    <n v="2033"/>
    <x v="178"/>
    <s v="Nill"/>
    <s v="upi"/>
    <x v="10"/>
    <s v="EMI payment"/>
  </r>
  <r>
    <s v="T2469"/>
    <s v="U038"/>
    <x v="172"/>
    <x v="170"/>
    <x v="1"/>
    <x v="13"/>
    <x v="212"/>
    <n v="44932"/>
    <x v="2"/>
    <n v="44932"/>
    <s v="Bank Transfer"/>
    <x v="5"/>
    <s v="Lunch"/>
  </r>
  <r>
    <s v="T6621"/>
    <s v="U104"/>
    <x v="91"/>
    <x v="91"/>
    <x v="0"/>
    <x v="3"/>
    <x v="10"/>
    <n v="15120.822802197803"/>
    <x v="8"/>
    <s v="Nill"/>
    <s v="Cash"/>
    <x v="9"/>
    <s v="Not found"/>
  </r>
  <r>
    <s v="T7679"/>
    <s v="U079"/>
    <x v="176"/>
    <x v="174"/>
    <x v="0"/>
    <x v="0"/>
    <x v="213"/>
    <n v="2274"/>
    <x v="179"/>
    <s v="Nill"/>
    <s v="Cash"/>
    <x v="1"/>
    <s v="Grocery shopping"/>
  </r>
  <r>
    <s v="T8635"/>
    <s v="U039"/>
    <x v="206"/>
    <x v="203"/>
    <x v="0"/>
    <x v="8"/>
    <x v="214"/>
    <n v="330"/>
    <x v="180"/>
    <s v="Nill"/>
    <s v="Bank Transfer"/>
    <x v="7"/>
    <s v="unknown"/>
  </r>
  <r>
    <s v="T4874"/>
    <s v="U123"/>
    <x v="207"/>
    <x v="204"/>
    <x v="0"/>
    <x v="8"/>
    <x v="215"/>
    <n v="8592"/>
    <x v="181"/>
    <s v="Nill"/>
    <s v="Cash"/>
    <x v="8"/>
    <s v="Lunch"/>
  </r>
  <r>
    <s v="T3143"/>
    <s v="U025"/>
    <x v="208"/>
    <x v="205"/>
    <x v="0"/>
    <x v="1"/>
    <x v="216"/>
    <n v="6779"/>
    <x v="182"/>
    <s v="Nill"/>
    <s v="Cash"/>
    <x v="6"/>
    <s v="Monthly rent payment"/>
  </r>
  <r>
    <s v="T13475"/>
    <s v="U033"/>
    <x v="209"/>
    <x v="206"/>
    <x v="1"/>
    <x v="10"/>
    <x v="217"/>
    <n v="29235"/>
    <x v="2"/>
    <n v="29235"/>
    <s v="Bank Transfer"/>
    <x v="3"/>
    <s v="Not found"/>
  </r>
  <r>
    <s v="T8560"/>
    <s v="U023"/>
    <x v="23"/>
    <x v="23"/>
    <x v="0"/>
    <x v="9"/>
    <x v="218"/>
    <n v="2143"/>
    <x v="183"/>
    <s v="Nill"/>
    <s v="card"/>
    <x v="6"/>
    <s v="Not found"/>
  </r>
  <r>
    <s v="T8417"/>
    <s v="U089"/>
    <x v="210"/>
    <x v="207"/>
    <x v="0"/>
    <x v="3"/>
    <x v="219"/>
    <n v="4945"/>
    <x v="184"/>
    <s v="Nill"/>
    <s v="card"/>
    <x v="0"/>
    <s v="test"/>
  </r>
  <r>
    <s v="T8379"/>
    <s v="U106"/>
    <x v="211"/>
    <x v="208"/>
    <x v="0"/>
    <x v="4"/>
    <x v="220"/>
    <n v="8152"/>
    <x v="185"/>
    <s v="Nill"/>
    <s v="upi"/>
    <x v="6"/>
    <s v="Uber ride"/>
  </r>
  <r>
    <s v="T13913"/>
    <s v="U006"/>
    <x v="212"/>
    <x v="209"/>
    <x v="0"/>
    <x v="15"/>
    <x v="221"/>
    <n v="7300"/>
    <x v="186"/>
    <s v="Nill"/>
    <s v="Bank Transfer"/>
    <x v="8"/>
    <s v="unknown"/>
  </r>
  <r>
    <s v="T11359"/>
    <s v="U135"/>
    <x v="213"/>
    <x v="210"/>
    <x v="0"/>
    <x v="3"/>
    <x v="222"/>
    <n v="4603"/>
    <x v="187"/>
    <s v="Nill"/>
    <s v="Bank Transfer"/>
    <x v="0"/>
    <s v="EMI payment"/>
  </r>
  <r>
    <s v="T8916"/>
    <s v="U035"/>
    <x v="214"/>
    <x v="211"/>
    <x v="0"/>
    <x v="4"/>
    <x v="223"/>
    <n v="4719"/>
    <x v="188"/>
    <s v="Nill"/>
    <s v="card"/>
    <x v="10"/>
    <s v="Coffee"/>
  </r>
  <r>
    <s v="T5752"/>
    <s v="U112"/>
    <x v="215"/>
    <x v="212"/>
    <x v="0"/>
    <x v="1"/>
    <x v="224"/>
    <n v="27792"/>
    <x v="189"/>
    <s v="Nill"/>
    <s v="Bank Transfer"/>
    <x v="8"/>
    <s v="Doctor consultation"/>
  </r>
  <r>
    <s v="T11316"/>
    <s v="U053"/>
    <x v="216"/>
    <x v="213"/>
    <x v="0"/>
    <x v="8"/>
    <x v="225"/>
    <n v="6691"/>
    <x v="190"/>
    <s v="Nill"/>
    <s v="card"/>
    <x v="1"/>
    <s v="Doctor consultation"/>
  </r>
  <r>
    <s v="T4377"/>
    <s v="U065"/>
    <x v="217"/>
    <x v="214"/>
    <x v="0"/>
    <x v="1"/>
    <x v="226"/>
    <n v="5935"/>
    <x v="191"/>
    <s v="Nill"/>
    <s v="Bank Transfer"/>
    <x v="1"/>
    <s v="Coffee"/>
  </r>
  <r>
    <s v="T10191"/>
    <s v="U150"/>
    <x v="218"/>
    <x v="215"/>
    <x v="0"/>
    <x v="8"/>
    <x v="227"/>
    <n v="9750"/>
    <x v="192"/>
    <s v="Nill"/>
    <s v="upi"/>
    <x v="10"/>
    <s v="ATM withdrawal"/>
  </r>
  <r>
    <s v="T10267"/>
    <s v="U128"/>
    <x v="219"/>
    <x v="216"/>
    <x v="0"/>
    <x v="1"/>
    <x v="228"/>
    <n v="6484"/>
    <x v="193"/>
    <s v="Nill"/>
    <s v="upi"/>
    <x v="9"/>
    <s v="Fixed deposit"/>
  </r>
  <r>
    <s v="T10019"/>
    <s v="U029"/>
    <x v="220"/>
    <x v="217"/>
    <x v="0"/>
    <x v="4"/>
    <x v="229"/>
    <n v="2398"/>
    <x v="194"/>
    <s v="Nill"/>
    <s v="Bank Transfer"/>
    <x v="4"/>
    <s v="Medicine"/>
  </r>
  <r>
    <s v="T1053"/>
    <s v="U081"/>
    <x v="221"/>
    <x v="218"/>
    <x v="0"/>
    <x v="3"/>
    <x v="230"/>
    <n v="498"/>
    <x v="195"/>
    <s v="Nill"/>
    <s v="Cash"/>
    <x v="6"/>
    <s v="Coffee"/>
  </r>
  <r>
    <s v="T2960"/>
    <s v="U124"/>
    <x v="222"/>
    <x v="219"/>
    <x v="0"/>
    <x v="1"/>
    <x v="231"/>
    <n v="35588"/>
    <x v="196"/>
    <s v="Nill"/>
    <s v="Cash"/>
    <x v="9"/>
    <s v="Grocery shopping"/>
  </r>
  <r>
    <s v="T5402"/>
    <s v="U053"/>
    <x v="223"/>
    <x v="220"/>
    <x v="1"/>
    <x v="7"/>
    <x v="232"/>
    <n v="13131"/>
    <x v="2"/>
    <n v="13131"/>
    <s v="card"/>
    <x v="4"/>
    <s v="Fixed deposit"/>
  </r>
  <r>
    <s v="T1989"/>
    <s v="U027"/>
    <x v="224"/>
    <x v="221"/>
    <x v="0"/>
    <x v="9"/>
    <x v="233"/>
    <n v="6321"/>
    <x v="197"/>
    <s v="Nill"/>
    <s v="Cash"/>
    <x v="0"/>
    <s v="ATM withdrawal"/>
  </r>
  <r>
    <s v="T7284"/>
    <s v="U114"/>
    <x v="225"/>
    <x v="222"/>
    <x v="0"/>
    <x v="1"/>
    <x v="234"/>
    <n v="28207"/>
    <x v="198"/>
    <s v="Nill"/>
    <s v="Bank Transfer"/>
    <x v="3"/>
    <s v="Fixed deposit"/>
  </r>
  <r>
    <s v="T11284"/>
    <s v="U125"/>
    <x v="226"/>
    <x v="223"/>
    <x v="0"/>
    <x v="8"/>
    <x v="10"/>
    <n v="15120.822802197803"/>
    <x v="8"/>
    <s v="Nill"/>
    <s v="card"/>
    <x v="7"/>
    <s v="Train ticket"/>
  </r>
  <r>
    <s v="T1195"/>
    <s v="U102"/>
    <x v="97"/>
    <x v="97"/>
    <x v="0"/>
    <x v="1"/>
    <x v="235"/>
    <n v="10749"/>
    <x v="199"/>
    <s v="Nill"/>
    <s v="Cash"/>
    <x v="4"/>
    <s v="Uber ride"/>
  </r>
  <r>
    <s v="T6008"/>
    <s v="U053"/>
    <x v="227"/>
    <x v="224"/>
    <x v="0"/>
    <x v="3"/>
    <x v="236"/>
    <n v="2232"/>
    <x v="200"/>
    <s v="Nill"/>
    <s v="unknown"/>
    <x v="8"/>
    <s v="Books"/>
  </r>
  <r>
    <s v="T11465"/>
    <s v="U149"/>
    <x v="228"/>
    <x v="225"/>
    <x v="0"/>
    <x v="11"/>
    <x v="237"/>
    <n v="8161"/>
    <x v="201"/>
    <s v="Nill"/>
    <s v="card"/>
    <x v="2"/>
    <s v="Restaurant dinner"/>
  </r>
  <r>
    <s v="T8940"/>
    <s v="U088"/>
    <x v="123"/>
    <x v="123"/>
    <x v="0"/>
    <x v="12"/>
    <x v="238"/>
    <n v="3825"/>
    <x v="202"/>
    <s v="Nill"/>
    <s v="Cash"/>
    <x v="2"/>
    <s v="unknown"/>
  </r>
  <r>
    <s v="T2577"/>
    <s v="U075"/>
    <x v="229"/>
    <x v="226"/>
    <x v="0"/>
    <x v="6"/>
    <x v="239"/>
    <n v="4923"/>
    <x v="203"/>
    <s v="Nill"/>
    <s v="Bank Transfer"/>
    <x v="10"/>
    <s v="unknown"/>
  </r>
  <r>
    <s v="T6064"/>
    <s v="U104"/>
    <x v="230"/>
    <x v="227"/>
    <x v="0"/>
    <x v="3"/>
    <x v="240"/>
    <n v="1078"/>
    <x v="204"/>
    <s v="Nill"/>
    <s v="Bank Transfer"/>
    <x v="6"/>
    <s v="unknown"/>
  </r>
  <r>
    <s v="T1619"/>
    <s v="U053"/>
    <x v="231"/>
    <x v="228"/>
    <x v="1"/>
    <x v="10"/>
    <x v="241"/>
    <n v="74630"/>
    <x v="2"/>
    <n v="74630"/>
    <s v="Bank Transfer"/>
    <x v="0"/>
    <s v="unknown"/>
  </r>
  <r>
    <s v="T1405"/>
    <s v="U109"/>
    <x v="232"/>
    <x v="229"/>
    <x v="1"/>
    <x v="2"/>
    <x v="242"/>
    <n v="14180"/>
    <x v="2"/>
    <n v="14180"/>
    <s v="Cash"/>
    <x v="10"/>
    <s v="Online course"/>
  </r>
  <r>
    <s v="T0352"/>
    <s v="U149"/>
    <x v="233"/>
    <x v="230"/>
    <x v="0"/>
    <x v="6"/>
    <x v="243"/>
    <n v="8479"/>
    <x v="205"/>
    <s v="Nill"/>
    <s v="upi"/>
    <x v="2"/>
    <s v="Monthly rent payment"/>
  </r>
  <r>
    <s v="T5467"/>
    <s v="U104"/>
    <x v="234"/>
    <x v="231"/>
    <x v="0"/>
    <x v="3"/>
    <x v="244"/>
    <n v="5292"/>
    <x v="206"/>
    <s v="Nill"/>
    <s v="Bank Transfer"/>
    <x v="1"/>
    <s v="Gym membership"/>
  </r>
  <r>
    <s v="T10397"/>
    <s v="U013"/>
    <x v="235"/>
    <x v="232"/>
    <x v="0"/>
    <x v="8"/>
    <x v="245"/>
    <n v="3942"/>
    <x v="207"/>
    <s v="Nill"/>
    <s v="Bank Transfer"/>
    <x v="4"/>
    <s v="unknown"/>
  </r>
  <r>
    <s v="T3306"/>
    <s v="U065"/>
    <x v="236"/>
    <x v="233"/>
    <x v="0"/>
    <x v="4"/>
    <x v="246"/>
    <n v="2923"/>
    <x v="208"/>
    <s v="Nill"/>
    <s v="Bank Transfer"/>
    <x v="6"/>
    <s v="Doctor consultation"/>
  </r>
  <r>
    <s v="T12923"/>
    <s v="U075"/>
    <x v="237"/>
    <x v="234"/>
    <x v="0"/>
    <x v="4"/>
    <x v="247"/>
    <n v="8943"/>
    <x v="209"/>
    <s v="Nill"/>
    <s v="card"/>
    <x v="8"/>
    <s v="Monthly rent payment"/>
  </r>
  <r>
    <s v="T2497"/>
    <s v="U149"/>
    <x v="238"/>
    <x v="235"/>
    <x v="0"/>
    <x v="6"/>
    <x v="248"/>
    <n v="3159"/>
    <x v="210"/>
    <s v="Nill"/>
    <s v="card"/>
    <x v="6"/>
    <s v="ATM withdrawal"/>
  </r>
  <r>
    <s v="T12309"/>
    <s v="U024"/>
    <x v="239"/>
    <x v="236"/>
    <x v="0"/>
    <x v="1"/>
    <x v="249"/>
    <n v="12484"/>
    <x v="211"/>
    <s v="Nill"/>
    <s v="card"/>
    <x v="2"/>
    <s v="unknown"/>
  </r>
  <r>
    <s v="T6608"/>
    <s v="U081"/>
    <x v="240"/>
    <x v="237"/>
    <x v="0"/>
    <x v="1"/>
    <x v="250"/>
    <n v="4331"/>
    <x v="212"/>
    <s v="Nill"/>
    <s v="Cash"/>
    <x v="1"/>
    <s v="Train ticket"/>
  </r>
  <r>
    <s v="T4870"/>
    <s v="U014"/>
    <x v="70"/>
    <x v="70"/>
    <x v="0"/>
    <x v="1"/>
    <x v="251"/>
    <n v="9348"/>
    <x v="213"/>
    <s v="Nill"/>
    <s v="Bank Transfer"/>
    <x v="9"/>
    <s v="N/A"/>
  </r>
  <r>
    <s v="T12187"/>
    <s v="U060"/>
    <x v="241"/>
    <x v="238"/>
    <x v="0"/>
    <x v="3"/>
    <x v="252"/>
    <n v="8174"/>
    <x v="214"/>
    <s v="Nill"/>
    <s v="Bank Transfer"/>
    <x v="8"/>
    <s v="unknown"/>
  </r>
  <r>
    <s v="T13685"/>
    <s v="U047"/>
    <x v="242"/>
    <x v="239"/>
    <x v="1"/>
    <x v="10"/>
    <x v="253"/>
    <n v="74243"/>
    <x v="2"/>
    <n v="74243"/>
    <s v="Cash"/>
    <x v="9"/>
    <s v="Shopping"/>
  </r>
  <r>
    <s v="T6605"/>
    <s v="U124"/>
    <x v="243"/>
    <x v="240"/>
    <x v="0"/>
    <x v="3"/>
    <x v="254"/>
    <n v="8640"/>
    <x v="215"/>
    <s v="Nill"/>
    <s v="Cash"/>
    <x v="9"/>
    <s v="Coffee"/>
  </r>
  <r>
    <s v="T3940"/>
    <s v="U085"/>
    <x v="244"/>
    <x v="241"/>
    <x v="0"/>
    <x v="3"/>
    <x v="255"/>
    <n v="9784"/>
    <x v="216"/>
    <s v="Nill"/>
    <s v="card"/>
    <x v="9"/>
    <s v="Uber ride"/>
  </r>
  <r>
    <s v="T12289"/>
    <s v="U001"/>
    <x v="245"/>
    <x v="242"/>
    <x v="0"/>
    <x v="1"/>
    <x v="256"/>
    <n v="45093"/>
    <x v="217"/>
    <s v="Nill"/>
    <s v="card"/>
    <x v="8"/>
    <s v="Electricity bill"/>
  </r>
  <r>
    <s v="T12849"/>
    <s v="U049"/>
    <x v="246"/>
    <x v="243"/>
    <x v="0"/>
    <x v="3"/>
    <x v="257"/>
    <n v="2130"/>
    <x v="218"/>
    <s v="Nill"/>
    <s v="upi"/>
    <x v="4"/>
    <s v="Restaurant dinner"/>
  </r>
  <r>
    <s v="T6257"/>
    <s v="U036"/>
    <x v="247"/>
    <x v="244"/>
    <x v="0"/>
    <x v="3"/>
    <x v="258"/>
    <n v="4816"/>
    <x v="219"/>
    <s v="Nill"/>
    <s v="upi"/>
    <x v="8"/>
    <s v="Lunch"/>
  </r>
  <r>
    <s v="T3936"/>
    <s v="U039"/>
    <x v="248"/>
    <x v="245"/>
    <x v="0"/>
    <x v="3"/>
    <x v="259"/>
    <n v="2247"/>
    <x v="220"/>
    <s v="Nill"/>
    <s v="card"/>
    <x v="7"/>
    <s v="Uber ride"/>
  </r>
  <r>
    <s v="T10279"/>
    <s v="U087"/>
    <x v="249"/>
    <x v="246"/>
    <x v="1"/>
    <x v="2"/>
    <x v="260"/>
    <n v="46587"/>
    <x v="2"/>
    <n v="46587"/>
    <s v="card"/>
    <x v="4"/>
    <s v="Not found"/>
  </r>
  <r>
    <s v="T11375"/>
    <s v="U060"/>
    <x v="3"/>
    <x v="3"/>
    <x v="0"/>
    <x v="4"/>
    <x v="261"/>
    <n v="6699"/>
    <x v="221"/>
    <s v="Nill"/>
    <s v="Cash"/>
    <x v="4"/>
    <s v="Internet bill"/>
  </r>
  <r>
    <s v="T2772"/>
    <s v="U093"/>
    <x v="3"/>
    <x v="3"/>
    <x v="0"/>
    <x v="8"/>
    <x v="262"/>
    <n v="3345"/>
    <x v="222"/>
    <s v="Nill"/>
    <s v="Bank Transfer"/>
    <x v="3"/>
    <s v="Not found"/>
  </r>
  <r>
    <s v="T0177"/>
    <s v="U038"/>
    <x v="250"/>
    <x v="247"/>
    <x v="0"/>
    <x v="7"/>
    <x v="263"/>
    <n v="6610"/>
    <x v="223"/>
    <s v="Nill"/>
    <s v="Cash"/>
    <x v="8"/>
    <s v="Restaurant dinner"/>
  </r>
  <r>
    <s v="T3986"/>
    <s v="U077"/>
    <x v="251"/>
    <x v="248"/>
    <x v="0"/>
    <x v="8"/>
    <x v="264"/>
    <n v="4692"/>
    <x v="224"/>
    <s v="Nill"/>
    <s v="upi"/>
    <x v="9"/>
    <s v="Fixed deposit"/>
  </r>
  <r>
    <s v="T2217"/>
    <s v="U113"/>
    <x v="186"/>
    <x v="184"/>
    <x v="0"/>
    <x v="1"/>
    <x v="192"/>
    <n v="6756"/>
    <x v="163"/>
    <s v="Nill"/>
    <s v="Bank Transfer"/>
    <x v="8"/>
    <s v="unknown"/>
  </r>
  <r>
    <s v="T3810"/>
    <s v="U004"/>
    <x v="252"/>
    <x v="249"/>
    <x v="0"/>
    <x v="0"/>
    <x v="265"/>
    <n v="5305"/>
    <x v="225"/>
    <s v="Nill"/>
    <s v="Bank Transfer"/>
    <x v="7"/>
    <s v="Restaurant dinner"/>
  </r>
  <r>
    <s v="T7155"/>
    <s v="U060"/>
    <x v="253"/>
    <x v="91"/>
    <x v="1"/>
    <x v="13"/>
    <x v="266"/>
    <n v="67675"/>
    <x v="2"/>
    <n v="67675"/>
    <s v="Bank Transfer"/>
    <x v="2"/>
    <s v="unknown"/>
  </r>
  <r>
    <s v="T8163"/>
    <s v="U016"/>
    <x v="254"/>
    <x v="250"/>
    <x v="0"/>
    <x v="4"/>
    <x v="267"/>
    <n v="7845"/>
    <x v="226"/>
    <s v="Nill"/>
    <s v="Cash"/>
    <x v="6"/>
    <s v="Not found"/>
  </r>
  <r>
    <s v="T7044"/>
    <s v="U049"/>
    <x v="255"/>
    <x v="251"/>
    <x v="0"/>
    <x v="4"/>
    <x v="268"/>
    <n v="7183"/>
    <x v="227"/>
    <s v="Nill"/>
    <s v="Cash"/>
    <x v="3"/>
    <s v="Shopping"/>
  </r>
  <r>
    <s v="T3840"/>
    <s v="U144"/>
    <x v="256"/>
    <x v="252"/>
    <x v="0"/>
    <x v="6"/>
    <x v="269"/>
    <n v="6908"/>
    <x v="228"/>
    <s v="Nill"/>
    <s v="card"/>
    <x v="2"/>
    <s v="unknown"/>
  </r>
  <r>
    <s v="T3774"/>
    <s v="U020"/>
    <x v="257"/>
    <x v="253"/>
    <x v="0"/>
    <x v="1"/>
    <x v="270"/>
    <n v="47146"/>
    <x v="229"/>
    <s v="Nill"/>
    <s v="card"/>
    <x v="6"/>
    <s v="unknown"/>
  </r>
  <r>
    <s v="T3961"/>
    <s v="U111"/>
    <x v="258"/>
    <x v="254"/>
    <x v="0"/>
    <x v="9"/>
    <x v="271"/>
    <n v="5749"/>
    <x v="230"/>
    <s v="Nill"/>
    <s v="Cash"/>
    <x v="8"/>
    <s v="Internet bill"/>
  </r>
  <r>
    <s v="T13582"/>
    <s v="U133"/>
    <x v="259"/>
    <x v="132"/>
    <x v="0"/>
    <x v="4"/>
    <x v="272"/>
    <n v="5542"/>
    <x v="231"/>
    <s v="Nill"/>
    <s v="card"/>
    <x v="5"/>
    <s v="Petrol"/>
  </r>
  <r>
    <s v="T11104"/>
    <s v="U121"/>
    <x v="260"/>
    <x v="255"/>
    <x v="0"/>
    <x v="8"/>
    <x v="273"/>
    <n v="3429"/>
    <x v="232"/>
    <s v="Nill"/>
    <s v="card"/>
    <x v="10"/>
    <s v="Lunch"/>
  </r>
  <r>
    <s v="T8714"/>
    <s v="U065"/>
    <x v="261"/>
    <x v="256"/>
    <x v="0"/>
    <x v="4"/>
    <x v="274"/>
    <n v="237"/>
    <x v="233"/>
    <s v="Nill"/>
    <s v="Bank Transfer"/>
    <x v="9"/>
    <s v="Petrol"/>
  </r>
  <r>
    <s v="T2709"/>
    <s v="U138"/>
    <x v="262"/>
    <x v="257"/>
    <x v="0"/>
    <x v="11"/>
    <x v="275"/>
    <n v="8231"/>
    <x v="234"/>
    <s v="Nill"/>
    <s v="upi"/>
    <x v="7"/>
    <s v="Lunch"/>
  </r>
  <r>
    <s v="T2156"/>
    <s v="U018"/>
    <x v="263"/>
    <x v="258"/>
    <x v="0"/>
    <x v="6"/>
    <x v="276"/>
    <n v="9859"/>
    <x v="235"/>
    <s v="Nill"/>
    <s v="upi"/>
    <x v="5"/>
    <s v="EMI payment"/>
  </r>
  <r>
    <s v="T8551"/>
    <s v="U065"/>
    <x v="181"/>
    <x v="179"/>
    <x v="0"/>
    <x v="6"/>
    <x v="277"/>
    <n v="2288"/>
    <x v="236"/>
    <s v="Nill"/>
    <s v="upi"/>
    <x v="5"/>
    <s v="unknown"/>
  </r>
  <r>
    <s v="T10622"/>
    <s v="U030"/>
    <x v="264"/>
    <x v="259"/>
    <x v="0"/>
    <x v="8"/>
    <x v="278"/>
    <n v="5756"/>
    <x v="65"/>
    <s v="Nill"/>
    <s v="Bank Transfer"/>
    <x v="1"/>
    <s v="ATM withdrawal"/>
  </r>
  <r>
    <s v="T9673"/>
    <s v="U145"/>
    <x v="265"/>
    <x v="68"/>
    <x v="0"/>
    <x v="1"/>
    <x v="279"/>
    <n v="28183"/>
    <x v="237"/>
    <s v="Nill"/>
    <s v="upi"/>
    <x v="6"/>
    <s v="unknown"/>
  </r>
  <r>
    <s v="T8967"/>
    <s v="U125"/>
    <x v="266"/>
    <x v="260"/>
    <x v="1"/>
    <x v="7"/>
    <x v="280"/>
    <n v="41720"/>
    <x v="2"/>
    <n v="41720"/>
    <s v="Bank Transfer"/>
    <x v="8"/>
    <s v="Doctor consultation"/>
  </r>
  <r>
    <s v="T11141"/>
    <s v="U098"/>
    <x v="267"/>
    <x v="261"/>
    <x v="0"/>
    <x v="1"/>
    <x v="281"/>
    <n v="7335"/>
    <x v="238"/>
    <s v="Nill"/>
    <s v="Bank Transfer"/>
    <x v="7"/>
    <s v="unknown"/>
  </r>
  <r>
    <s v="T4430"/>
    <s v="U147"/>
    <x v="70"/>
    <x v="70"/>
    <x v="0"/>
    <x v="1"/>
    <x v="282"/>
    <n v="287"/>
    <x v="239"/>
    <s v="Nill"/>
    <s v="card"/>
    <x v="1"/>
    <s v="Restaurant dinner"/>
  </r>
  <r>
    <s v="T11810"/>
    <s v="U060"/>
    <x v="268"/>
    <x v="262"/>
    <x v="1"/>
    <x v="7"/>
    <x v="283"/>
    <n v="57828"/>
    <x v="2"/>
    <n v="57828"/>
    <s v="upi"/>
    <x v="0"/>
    <s v="Shopping"/>
  </r>
  <r>
    <s v="T10574"/>
    <s v="U061"/>
    <x v="269"/>
    <x v="263"/>
    <x v="0"/>
    <x v="0"/>
    <x v="284"/>
    <n v="9601"/>
    <x v="240"/>
    <s v="Nill"/>
    <s v="unknown"/>
    <x v="5"/>
    <s v="Uber ride"/>
  </r>
  <r>
    <s v="T9406"/>
    <s v="U131"/>
    <x v="270"/>
    <x v="264"/>
    <x v="0"/>
    <x v="4"/>
    <x v="285"/>
    <n v="2186"/>
    <x v="241"/>
    <s v="Nill"/>
    <s v="card"/>
    <x v="2"/>
    <s v="Online course"/>
  </r>
  <r>
    <s v="T2288"/>
    <s v="U143"/>
    <x v="271"/>
    <x v="265"/>
    <x v="0"/>
    <x v="4"/>
    <x v="286"/>
    <n v="8093"/>
    <x v="242"/>
    <s v="Nill"/>
    <s v="card"/>
    <x v="4"/>
    <s v="Not found"/>
  </r>
  <r>
    <s v="T1733"/>
    <s v="U080"/>
    <x v="272"/>
    <x v="266"/>
    <x v="0"/>
    <x v="8"/>
    <x v="287"/>
    <n v="2272"/>
    <x v="243"/>
    <s v="Nill"/>
    <s v="Bank Transfer"/>
    <x v="1"/>
    <s v="Gym membership"/>
  </r>
  <r>
    <s v="T13220"/>
    <s v="U140"/>
    <x v="201"/>
    <x v="198"/>
    <x v="0"/>
    <x v="3"/>
    <x v="288"/>
    <n v="4549"/>
    <x v="244"/>
    <s v="Nill"/>
    <s v="Cash"/>
    <x v="7"/>
    <s v="ATM withdrawal"/>
  </r>
  <r>
    <s v="T9379"/>
    <s v="U106"/>
    <x v="273"/>
    <x v="267"/>
    <x v="0"/>
    <x v="1"/>
    <x v="289"/>
    <n v="21603"/>
    <x v="245"/>
    <s v="Nill"/>
    <s v="Cash"/>
    <x v="9"/>
    <s v="Petrol"/>
  </r>
  <r>
    <s v="T0617"/>
    <s v="U046"/>
    <x v="274"/>
    <x v="268"/>
    <x v="0"/>
    <x v="3"/>
    <x v="290"/>
    <n v="1641"/>
    <x v="246"/>
    <s v="Nill"/>
    <s v="Cash"/>
    <x v="5"/>
    <s v="unknown"/>
  </r>
  <r>
    <s v="T13759"/>
    <s v="U109"/>
    <x v="275"/>
    <x v="269"/>
    <x v="0"/>
    <x v="0"/>
    <x v="291"/>
    <n v="7941"/>
    <x v="247"/>
    <s v="Nill"/>
    <s v="upi"/>
    <x v="7"/>
    <s v="test"/>
  </r>
  <r>
    <s v="T0147"/>
    <s v="U114"/>
    <x v="276"/>
    <x v="270"/>
    <x v="0"/>
    <x v="8"/>
    <x v="292"/>
    <n v="7135"/>
    <x v="248"/>
    <s v="Nill"/>
    <s v="Cash"/>
    <x v="4"/>
    <s v="ATM withdrawal"/>
  </r>
  <r>
    <s v="T4332"/>
    <s v="U089"/>
    <x v="277"/>
    <x v="271"/>
    <x v="0"/>
    <x v="3"/>
    <x v="293"/>
    <n v="4265"/>
    <x v="249"/>
    <s v="Nill"/>
    <s v="upi"/>
    <x v="1"/>
    <s v="unknown"/>
  </r>
  <r>
    <s v="T12052"/>
    <s v="U046"/>
    <x v="278"/>
    <x v="272"/>
    <x v="0"/>
    <x v="11"/>
    <x v="294"/>
    <n v="8634"/>
    <x v="250"/>
    <s v="Nill"/>
    <s v="Bank Transfer"/>
    <x v="4"/>
    <s v="Gym membership"/>
  </r>
  <r>
    <s v="T4585"/>
    <s v="U003"/>
    <x v="279"/>
    <x v="273"/>
    <x v="0"/>
    <x v="4"/>
    <x v="295"/>
    <n v="1006"/>
    <x v="251"/>
    <s v="Nill"/>
    <s v="upi"/>
    <x v="1"/>
    <s v="Medicine"/>
  </r>
  <r>
    <s v="T0859"/>
    <s v="U132"/>
    <x v="280"/>
    <x v="274"/>
    <x v="0"/>
    <x v="8"/>
    <x v="296"/>
    <n v="475"/>
    <x v="252"/>
    <s v="Nill"/>
    <s v="Bank Transfer"/>
    <x v="6"/>
    <s v="unknown"/>
  </r>
  <r>
    <s v="T6964"/>
    <s v="U028"/>
    <x v="281"/>
    <x v="61"/>
    <x v="0"/>
    <x v="11"/>
    <x v="10"/>
    <n v="15120.822802197803"/>
    <x v="8"/>
    <s v="Nill"/>
    <s v="Cash"/>
    <x v="6"/>
    <s v="Train ticket"/>
  </r>
  <r>
    <s v="T5011"/>
    <s v="U129"/>
    <x v="282"/>
    <x v="275"/>
    <x v="0"/>
    <x v="8"/>
    <x v="297"/>
    <n v="6799"/>
    <x v="253"/>
    <s v="Nill"/>
    <s v="card"/>
    <x v="2"/>
    <s v="Restaurant dinner"/>
  </r>
  <r>
    <s v="T13370"/>
    <s v="U046"/>
    <x v="283"/>
    <x v="191"/>
    <x v="0"/>
    <x v="9"/>
    <x v="10"/>
    <n v="15120.822802197803"/>
    <x v="8"/>
    <s v="Nill"/>
    <s v="card"/>
    <x v="6"/>
    <s v="Movie tickets"/>
  </r>
  <r>
    <s v="T1330"/>
    <s v="U108"/>
    <x v="284"/>
    <x v="276"/>
    <x v="0"/>
    <x v="1"/>
    <x v="298"/>
    <n v="1564"/>
    <x v="254"/>
    <s v="Nill"/>
    <s v="unknown"/>
    <x v="3"/>
    <s v="Doctor consultation"/>
  </r>
  <r>
    <s v="T4361"/>
    <s v="U008"/>
    <x v="285"/>
    <x v="277"/>
    <x v="0"/>
    <x v="0"/>
    <x v="299"/>
    <n v="1002"/>
    <x v="255"/>
    <s v="Nill"/>
    <s v="Bank Transfer"/>
    <x v="0"/>
    <s v="N/A"/>
  </r>
  <r>
    <s v="T7760"/>
    <s v="U089"/>
    <x v="286"/>
    <x v="278"/>
    <x v="0"/>
    <x v="1"/>
    <x v="300"/>
    <n v="46614"/>
    <x v="256"/>
    <s v="Nill"/>
    <s v="Bank Transfer"/>
    <x v="4"/>
    <s v="unknown"/>
  </r>
  <r>
    <s v="T7501"/>
    <s v="U047"/>
    <x v="145"/>
    <x v="143"/>
    <x v="0"/>
    <x v="3"/>
    <x v="301"/>
    <n v="4005"/>
    <x v="257"/>
    <s v="Nill"/>
    <s v="Cash"/>
    <x v="5"/>
    <s v="Monthly rent payment"/>
  </r>
  <r>
    <s v="T13770"/>
    <s v="U147"/>
    <x v="3"/>
    <x v="3"/>
    <x v="0"/>
    <x v="3"/>
    <x v="302"/>
    <n v="651"/>
    <x v="258"/>
    <s v="Nill"/>
    <s v="Bank Transfer"/>
    <x v="7"/>
    <s v="Coffee"/>
  </r>
  <r>
    <s v="T10853"/>
    <s v="U083"/>
    <x v="287"/>
    <x v="279"/>
    <x v="0"/>
    <x v="8"/>
    <x v="303"/>
    <n v="4601"/>
    <x v="259"/>
    <s v="Nill"/>
    <s v="upi"/>
    <x v="8"/>
    <s v="Medicine"/>
  </r>
  <r>
    <s v="T5130"/>
    <s v="U075"/>
    <x v="288"/>
    <x v="280"/>
    <x v="0"/>
    <x v="1"/>
    <x v="304"/>
    <n v="46896"/>
    <x v="260"/>
    <s v="Nill"/>
    <s v="upi"/>
    <x v="6"/>
    <s v="Lunch"/>
  </r>
  <r>
    <s v="T12558"/>
    <s v="U124"/>
    <x v="289"/>
    <x v="281"/>
    <x v="0"/>
    <x v="1"/>
    <x v="10"/>
    <n v="15120.822802197803"/>
    <x v="8"/>
    <s v="Nill"/>
    <s v="Cash"/>
    <x v="7"/>
    <s v="unknown"/>
  </r>
  <r>
    <s v="T4248"/>
    <s v="U058"/>
    <x v="284"/>
    <x v="276"/>
    <x v="1"/>
    <x v="5"/>
    <x v="305"/>
    <n v="78532"/>
    <x v="2"/>
    <n v="78532"/>
    <s v="Bank Transfer"/>
    <x v="5"/>
    <s v="misc"/>
  </r>
  <r>
    <s v="T5305"/>
    <s v="U046"/>
    <x v="290"/>
    <x v="282"/>
    <x v="1"/>
    <x v="13"/>
    <x v="306"/>
    <n v="178518"/>
    <x v="2"/>
    <n v="178518"/>
    <s v="Bank Transfer"/>
    <x v="8"/>
    <s v="Shopping"/>
  </r>
  <r>
    <s v="T6784"/>
    <s v="U022"/>
    <x v="291"/>
    <x v="283"/>
    <x v="0"/>
    <x v="3"/>
    <x v="307"/>
    <n v="8687"/>
    <x v="261"/>
    <s v="Nill"/>
    <s v="unknown"/>
    <x v="2"/>
    <s v="Coffee"/>
  </r>
  <r>
    <s v="T1468"/>
    <s v="U139"/>
    <x v="292"/>
    <x v="284"/>
    <x v="1"/>
    <x v="2"/>
    <x v="308"/>
    <n v="57170"/>
    <x v="2"/>
    <n v="57170"/>
    <s v="upi"/>
    <x v="6"/>
    <s v="Movie tickets"/>
  </r>
  <r>
    <s v="T5253"/>
    <s v="U075"/>
    <x v="293"/>
    <x v="285"/>
    <x v="0"/>
    <x v="3"/>
    <x v="309"/>
    <n v="7235"/>
    <x v="262"/>
    <s v="Nill"/>
    <s v="card"/>
    <x v="2"/>
    <s v="test"/>
  </r>
  <r>
    <s v="T6241"/>
    <s v="U037"/>
    <x v="294"/>
    <x v="286"/>
    <x v="0"/>
    <x v="8"/>
    <x v="310"/>
    <n v="9675"/>
    <x v="263"/>
    <s v="Nill"/>
    <s v="Cash"/>
    <x v="10"/>
    <s v="Restaurant dinner"/>
  </r>
  <r>
    <s v="T4458"/>
    <s v="U075"/>
    <x v="295"/>
    <x v="156"/>
    <x v="0"/>
    <x v="3"/>
    <x v="311"/>
    <n v="4895"/>
    <x v="264"/>
    <s v="Nill"/>
    <s v="upi"/>
    <x v="0"/>
    <s v="Fixed deposit"/>
  </r>
  <r>
    <s v="T4529"/>
    <s v="U064"/>
    <x v="296"/>
    <x v="287"/>
    <x v="1"/>
    <x v="13"/>
    <x v="312"/>
    <n v="21355"/>
    <x v="2"/>
    <n v="21355"/>
    <s v="Bank Transfer"/>
    <x v="9"/>
    <s v="EMI payment"/>
  </r>
  <r>
    <s v="T5154"/>
    <s v="U072"/>
    <x v="297"/>
    <x v="288"/>
    <x v="1"/>
    <x v="7"/>
    <x v="313"/>
    <n v="13183"/>
    <x v="2"/>
    <n v="13183"/>
    <s v="upi"/>
    <x v="7"/>
    <s v="Books"/>
  </r>
  <r>
    <s v="T10901"/>
    <s v="U086"/>
    <x v="212"/>
    <x v="209"/>
    <x v="0"/>
    <x v="8"/>
    <x v="314"/>
    <n v="9364"/>
    <x v="265"/>
    <s v="Nill"/>
    <s v="upi"/>
    <x v="6"/>
    <s v="EMI payment"/>
  </r>
  <r>
    <s v="T12719"/>
    <s v="U019"/>
    <x v="298"/>
    <x v="289"/>
    <x v="0"/>
    <x v="3"/>
    <x v="315"/>
    <n v="5042"/>
    <x v="266"/>
    <s v="Nill"/>
    <s v="Cash"/>
    <x v="9"/>
    <s v="EMI payment"/>
  </r>
  <r>
    <s v="T6988"/>
    <s v="U044"/>
    <x v="299"/>
    <x v="290"/>
    <x v="0"/>
    <x v="1"/>
    <x v="316"/>
    <n v="2824"/>
    <x v="267"/>
    <s v="Nill"/>
    <s v="upi"/>
    <x v="0"/>
    <s v="Doctor consultation"/>
  </r>
  <r>
    <s v="T2128"/>
    <s v="U126"/>
    <x v="300"/>
    <x v="291"/>
    <x v="0"/>
    <x v="9"/>
    <x v="317"/>
    <n v="9979"/>
    <x v="268"/>
    <s v="Nill"/>
    <s v="upi"/>
    <x v="1"/>
    <s v="Internet bill"/>
  </r>
  <r>
    <s v="T1182"/>
    <s v="U023"/>
    <x v="301"/>
    <x v="292"/>
    <x v="0"/>
    <x v="9"/>
    <x v="318"/>
    <n v="8548"/>
    <x v="269"/>
    <s v="Nill"/>
    <s v="unknown"/>
    <x v="2"/>
    <s v="ATM withdrawal"/>
  </r>
  <r>
    <s v="T4182"/>
    <s v="U117"/>
    <x v="302"/>
    <x v="293"/>
    <x v="0"/>
    <x v="3"/>
    <x v="319"/>
    <n v="700"/>
    <x v="270"/>
    <s v="Nill"/>
    <s v="Bank Transfer"/>
    <x v="8"/>
    <s v="Gym membership"/>
  </r>
  <r>
    <s v="T4082"/>
    <s v="U138"/>
    <x v="303"/>
    <x v="294"/>
    <x v="0"/>
    <x v="3"/>
    <x v="320"/>
    <n v="6556"/>
    <x v="271"/>
    <s v="Nill"/>
    <s v="upi"/>
    <x v="10"/>
    <s v="unknown"/>
  </r>
  <r>
    <s v="T8735"/>
    <s v="U023"/>
    <x v="304"/>
    <x v="295"/>
    <x v="0"/>
    <x v="3"/>
    <x v="321"/>
    <n v="8641"/>
    <x v="272"/>
    <s v="Nill"/>
    <s v="card"/>
    <x v="1"/>
    <s v="N/A"/>
  </r>
  <r>
    <s v="T8123"/>
    <s v="U020"/>
    <x v="305"/>
    <x v="296"/>
    <x v="0"/>
    <x v="1"/>
    <x v="322"/>
    <n v="5988"/>
    <x v="273"/>
    <s v="Nill"/>
    <s v="Bank Transfer"/>
    <x v="10"/>
    <s v="Movie tickets"/>
  </r>
  <r>
    <s v="T7895"/>
    <s v="U117"/>
    <x v="306"/>
    <x v="297"/>
    <x v="0"/>
    <x v="6"/>
    <x v="144"/>
    <n v="6348"/>
    <x v="121"/>
    <s v="Nill"/>
    <s v="card"/>
    <x v="7"/>
    <s v="unknown"/>
  </r>
  <r>
    <s v="T8735"/>
    <s v="U113"/>
    <x v="307"/>
    <x v="298"/>
    <x v="0"/>
    <x v="1"/>
    <x v="323"/>
    <n v="5549"/>
    <x v="274"/>
    <s v="Nill"/>
    <s v="upi"/>
    <x v="3"/>
    <s v="Fixed deposit"/>
  </r>
  <r>
    <s v="T10792"/>
    <s v="U053"/>
    <x v="308"/>
    <x v="299"/>
    <x v="0"/>
    <x v="1"/>
    <x v="324"/>
    <n v="44898"/>
    <x v="275"/>
    <s v="Nill"/>
    <s v="Cash"/>
    <x v="7"/>
    <s v="Coffee"/>
  </r>
  <r>
    <s v="T8838"/>
    <s v="U010"/>
    <x v="309"/>
    <x v="300"/>
    <x v="0"/>
    <x v="1"/>
    <x v="325"/>
    <n v="3221"/>
    <x v="276"/>
    <s v="Nill"/>
    <s v="upi"/>
    <x v="6"/>
    <s v="ATM withdrawal"/>
  </r>
  <r>
    <s v="T1044"/>
    <s v="U075"/>
    <x v="155"/>
    <x v="153"/>
    <x v="0"/>
    <x v="3"/>
    <x v="326"/>
    <n v="1810"/>
    <x v="277"/>
    <s v="Nill"/>
    <s v="card"/>
    <x v="5"/>
    <s v="Internet bill"/>
  </r>
  <r>
    <s v="T8602"/>
    <s v="U097"/>
    <x v="310"/>
    <x v="301"/>
    <x v="0"/>
    <x v="1"/>
    <x v="327"/>
    <n v="9944"/>
    <x v="278"/>
    <s v="Nill"/>
    <s v="upi"/>
    <x v="6"/>
    <s v="misc"/>
  </r>
  <r>
    <s v="T7931"/>
    <s v="U085"/>
    <x v="270"/>
    <x v="264"/>
    <x v="0"/>
    <x v="8"/>
    <x v="328"/>
    <n v="1037"/>
    <x v="279"/>
    <s v="Nill"/>
    <s v="Cash"/>
    <x v="2"/>
    <s v="Electricity bill"/>
  </r>
  <r>
    <s v="T13820"/>
    <s v="U148"/>
    <x v="311"/>
    <x v="302"/>
    <x v="0"/>
    <x v="6"/>
    <x v="329"/>
    <n v="6278"/>
    <x v="280"/>
    <s v="Nill"/>
    <s v="Bank Transfer"/>
    <x v="1"/>
    <s v="unknown"/>
  </r>
  <r>
    <s v="T0241"/>
    <s v="U148"/>
    <x v="312"/>
    <x v="303"/>
    <x v="0"/>
    <x v="8"/>
    <x v="330"/>
    <n v="2963"/>
    <x v="281"/>
    <s v="Nill"/>
    <s v="upi"/>
    <x v="3"/>
    <s v="Not found"/>
  </r>
  <r>
    <s v="T9531"/>
    <s v="U149"/>
    <x v="313"/>
    <x v="304"/>
    <x v="0"/>
    <x v="6"/>
    <x v="331"/>
    <n v="999"/>
    <x v="282"/>
    <s v="Nill"/>
    <s v="Cash"/>
    <x v="7"/>
    <s v="Fixed deposit"/>
  </r>
  <r>
    <s v="T1003"/>
    <s v="U064"/>
    <x v="314"/>
    <x v="305"/>
    <x v="1"/>
    <x v="10"/>
    <x v="332"/>
    <n v="43737"/>
    <x v="2"/>
    <n v="43737"/>
    <s v="upi"/>
    <x v="4"/>
    <s v="Internet bill"/>
  </r>
  <r>
    <s v="T5549"/>
    <s v="U114"/>
    <x v="315"/>
    <x v="306"/>
    <x v="0"/>
    <x v="1"/>
    <x v="333"/>
    <n v="45894"/>
    <x v="283"/>
    <s v="Nill"/>
    <s v="Bank Transfer"/>
    <x v="10"/>
    <s v="Petrol"/>
  </r>
  <r>
    <s v="T13844"/>
    <s v="U006"/>
    <x v="316"/>
    <x v="307"/>
    <x v="0"/>
    <x v="8"/>
    <x v="334"/>
    <n v="7040"/>
    <x v="284"/>
    <s v="Nill"/>
    <s v="upi"/>
    <x v="9"/>
    <s v="Uber ride"/>
  </r>
  <r>
    <s v="T9591"/>
    <s v="U034"/>
    <x v="317"/>
    <x v="308"/>
    <x v="0"/>
    <x v="4"/>
    <x v="335"/>
    <n v="5011"/>
    <x v="285"/>
    <s v="Nill"/>
    <s v="upi"/>
    <x v="3"/>
    <s v="Uber ride"/>
  </r>
  <r>
    <s v="T5042"/>
    <s v="U008"/>
    <x v="318"/>
    <x v="309"/>
    <x v="0"/>
    <x v="8"/>
    <x v="336"/>
    <n v="2082"/>
    <x v="286"/>
    <s v="Nill"/>
    <s v="Cash"/>
    <x v="6"/>
    <s v="Grocery shopping"/>
  </r>
  <r>
    <s v="T6831"/>
    <s v="U145"/>
    <x v="319"/>
    <x v="310"/>
    <x v="1"/>
    <x v="2"/>
    <x v="337"/>
    <n v="43378"/>
    <x v="2"/>
    <n v="43378"/>
    <s v="upi"/>
    <x v="3"/>
    <s v="unknown"/>
  </r>
  <r>
    <s v="T0131"/>
    <s v="U108"/>
    <x v="320"/>
    <x v="311"/>
    <x v="0"/>
    <x v="4"/>
    <x v="338"/>
    <n v="4167"/>
    <x v="287"/>
    <s v="Nill"/>
    <s v="Cash"/>
    <x v="8"/>
    <s v="unknown"/>
  </r>
  <r>
    <s v="T3349"/>
    <s v="U130"/>
    <x v="321"/>
    <x v="312"/>
    <x v="0"/>
    <x v="6"/>
    <x v="339"/>
    <n v="6260"/>
    <x v="288"/>
    <s v="Nill"/>
    <s v="card"/>
    <x v="10"/>
    <s v="Electricity bill"/>
  </r>
  <r>
    <s v="T5111"/>
    <s v="U051"/>
    <x v="322"/>
    <x v="313"/>
    <x v="0"/>
    <x v="1"/>
    <x v="340"/>
    <n v="747"/>
    <x v="289"/>
    <s v="Nill"/>
    <s v="card"/>
    <x v="7"/>
    <s v="unknown"/>
  </r>
  <r>
    <s v="T2986"/>
    <s v="U127"/>
    <x v="323"/>
    <x v="314"/>
    <x v="0"/>
    <x v="8"/>
    <x v="341"/>
    <n v="3645"/>
    <x v="290"/>
    <s v="Nill"/>
    <s v="unknown"/>
    <x v="4"/>
    <s v="Internet bill"/>
  </r>
  <r>
    <s v="T3113"/>
    <s v="U079"/>
    <x v="324"/>
    <x v="315"/>
    <x v="0"/>
    <x v="9"/>
    <x v="342"/>
    <n v="5958"/>
    <x v="291"/>
    <s v="Nill"/>
    <s v="Bank Transfer"/>
    <x v="10"/>
    <s v="misc"/>
  </r>
  <r>
    <s v="T5430"/>
    <s v="U061"/>
    <x v="325"/>
    <x v="316"/>
    <x v="1"/>
    <x v="10"/>
    <x v="343"/>
    <n v="49098"/>
    <x v="2"/>
    <n v="49098"/>
    <s v="Cash"/>
    <x v="7"/>
    <s v="Not found"/>
  </r>
  <r>
    <s v="T13440"/>
    <s v="U062"/>
    <x v="326"/>
    <x v="317"/>
    <x v="0"/>
    <x v="8"/>
    <x v="344"/>
    <n v="3833"/>
    <x v="292"/>
    <s v="Nill"/>
    <s v="card"/>
    <x v="1"/>
    <s v="EMI payment"/>
  </r>
  <r>
    <s v="T1572"/>
    <s v="U097"/>
    <x v="327"/>
    <x v="318"/>
    <x v="0"/>
    <x v="0"/>
    <x v="345"/>
    <n v="2715"/>
    <x v="293"/>
    <s v="Nill"/>
    <s v="card"/>
    <x v="0"/>
    <s v="Not found"/>
  </r>
  <r>
    <s v="T13022"/>
    <s v="U105"/>
    <x v="328"/>
    <x v="319"/>
    <x v="0"/>
    <x v="6"/>
    <x v="346"/>
    <n v="9245"/>
    <x v="294"/>
    <s v="Nill"/>
    <s v="Bank Transfer"/>
    <x v="0"/>
    <s v="Train ticket"/>
  </r>
  <r>
    <s v="T3628"/>
    <s v="U116"/>
    <x v="329"/>
    <x v="320"/>
    <x v="0"/>
    <x v="1"/>
    <x v="347"/>
    <n v="12316"/>
    <x v="295"/>
    <s v="Nill"/>
    <s v="Cash"/>
    <x v="9"/>
    <s v="Medicine"/>
  </r>
  <r>
    <s v="T7622"/>
    <s v="U124"/>
    <x v="181"/>
    <x v="179"/>
    <x v="0"/>
    <x v="4"/>
    <x v="348"/>
    <n v="2561"/>
    <x v="296"/>
    <s v="Nill"/>
    <s v="Bank Transfer"/>
    <x v="3"/>
    <s v="misc"/>
  </r>
  <r>
    <s v="T5287"/>
    <s v="U129"/>
    <x v="175"/>
    <x v="173"/>
    <x v="0"/>
    <x v="4"/>
    <x v="349"/>
    <n v="6832"/>
    <x v="297"/>
    <s v="Nill"/>
    <s v="Cash"/>
    <x v="9"/>
    <s v="Fixed deposit"/>
  </r>
  <r>
    <s v="T6525"/>
    <s v="U061"/>
    <x v="330"/>
    <x v="321"/>
    <x v="0"/>
    <x v="1"/>
    <x v="350"/>
    <n v="9714"/>
    <x v="298"/>
    <s v="Nill"/>
    <s v="Cash"/>
    <x v="6"/>
    <s v="Gym membership"/>
  </r>
  <r>
    <s v="T11583"/>
    <s v="U036"/>
    <x v="331"/>
    <x v="322"/>
    <x v="1"/>
    <x v="13"/>
    <x v="351"/>
    <n v="73654"/>
    <x v="2"/>
    <n v="73654"/>
    <s v="card"/>
    <x v="10"/>
    <s v="Not found"/>
  </r>
  <r>
    <s v="T5046"/>
    <s v="U123"/>
    <x v="332"/>
    <x v="323"/>
    <x v="0"/>
    <x v="1"/>
    <x v="352"/>
    <n v="5622"/>
    <x v="299"/>
    <s v="Nill"/>
    <s v="Bank Transfer"/>
    <x v="9"/>
    <s v="ATM withdrawal"/>
  </r>
  <r>
    <s v="T11781"/>
    <s v="U065"/>
    <x v="333"/>
    <x v="324"/>
    <x v="0"/>
    <x v="9"/>
    <x v="10"/>
    <n v="15120.822802197803"/>
    <x v="8"/>
    <s v="Nill"/>
    <s v="card"/>
    <x v="6"/>
    <s v="Fixed deposit"/>
  </r>
  <r>
    <s v="T9393"/>
    <s v="U030"/>
    <x v="334"/>
    <x v="325"/>
    <x v="0"/>
    <x v="8"/>
    <x v="353"/>
    <n v="7748"/>
    <x v="300"/>
    <s v="Nill"/>
    <s v="card"/>
    <x v="2"/>
    <s v="Not found"/>
  </r>
  <r>
    <s v="T1258"/>
    <s v="U106"/>
    <x v="335"/>
    <x v="137"/>
    <x v="0"/>
    <x v="1"/>
    <x v="354"/>
    <n v="4981"/>
    <x v="301"/>
    <s v="Nill"/>
    <s v="unknown"/>
    <x v="9"/>
    <s v="unknown"/>
  </r>
  <r>
    <s v="T0928"/>
    <s v="U102"/>
    <x v="336"/>
    <x v="326"/>
    <x v="0"/>
    <x v="3"/>
    <x v="355"/>
    <n v="301"/>
    <x v="302"/>
    <s v="Nill"/>
    <s v="card"/>
    <x v="1"/>
    <s v="Grocery shopping"/>
  </r>
  <r>
    <s v="T6037"/>
    <s v="U009"/>
    <x v="337"/>
    <x v="327"/>
    <x v="0"/>
    <x v="3"/>
    <x v="356"/>
    <n v="3830"/>
    <x v="303"/>
    <s v="Nill"/>
    <s v="card"/>
    <x v="3"/>
    <s v="Gym membership"/>
  </r>
  <r>
    <s v="T12742"/>
    <s v="U139"/>
    <x v="338"/>
    <x v="139"/>
    <x v="0"/>
    <x v="8"/>
    <x v="165"/>
    <n v="2985"/>
    <x v="141"/>
    <s v="Nill"/>
    <s v="upi"/>
    <x v="5"/>
    <s v="Gym membership"/>
  </r>
  <r>
    <s v="T7198"/>
    <s v="U069"/>
    <x v="339"/>
    <x v="328"/>
    <x v="1"/>
    <x v="7"/>
    <x v="357"/>
    <n v="79870"/>
    <x v="2"/>
    <n v="79870"/>
    <s v="upi"/>
    <x v="8"/>
    <s v="Movie tickets"/>
  </r>
  <r>
    <s v="T2353"/>
    <s v="U082"/>
    <x v="340"/>
    <x v="329"/>
    <x v="0"/>
    <x v="3"/>
    <x v="358"/>
    <n v="4426"/>
    <x v="304"/>
    <s v="Nill"/>
    <s v="Bank Transfer"/>
    <x v="3"/>
    <s v="Fixed deposit"/>
  </r>
  <r>
    <s v="T7335"/>
    <s v="U024"/>
    <x v="341"/>
    <x v="330"/>
    <x v="0"/>
    <x v="4"/>
    <x v="359"/>
    <n v="3640"/>
    <x v="305"/>
    <s v="Nill"/>
    <s v="upi"/>
    <x v="6"/>
    <s v="EMI payment"/>
  </r>
  <r>
    <s v="T11646"/>
    <s v="U122"/>
    <x v="3"/>
    <x v="3"/>
    <x v="0"/>
    <x v="8"/>
    <x v="360"/>
    <n v="1583"/>
    <x v="306"/>
    <s v="Nill"/>
    <s v="card"/>
    <x v="0"/>
    <s v="Train ticket"/>
  </r>
  <r>
    <s v="T7798"/>
    <s v="U040"/>
    <x v="342"/>
    <x v="331"/>
    <x v="0"/>
    <x v="6"/>
    <x v="361"/>
    <n v="9476"/>
    <x v="307"/>
    <s v="Nill"/>
    <s v="upi"/>
    <x v="2"/>
    <s v="Movie tickets"/>
  </r>
  <r>
    <s v="T3213"/>
    <s v="U148"/>
    <x v="152"/>
    <x v="150"/>
    <x v="0"/>
    <x v="8"/>
    <x v="362"/>
    <n v="7070"/>
    <x v="308"/>
    <s v="Nill"/>
    <s v="upi"/>
    <x v="1"/>
    <s v="unknown"/>
  </r>
  <r>
    <s v="T10710"/>
    <s v="U006"/>
    <x v="99"/>
    <x v="99"/>
    <x v="0"/>
    <x v="8"/>
    <x v="363"/>
    <n v="7174"/>
    <x v="309"/>
    <s v="Nill"/>
    <s v="upi"/>
    <x v="7"/>
    <s v="Uber ride"/>
  </r>
  <r>
    <s v="T0922"/>
    <s v="U086"/>
    <x v="106"/>
    <x v="106"/>
    <x v="0"/>
    <x v="4"/>
    <x v="364"/>
    <n v="3159"/>
    <x v="210"/>
    <s v="Nill"/>
    <s v="Bank Transfer"/>
    <x v="0"/>
    <s v="unknown"/>
  </r>
  <r>
    <s v="T13698"/>
    <s v="U094"/>
    <x v="3"/>
    <x v="3"/>
    <x v="0"/>
    <x v="6"/>
    <x v="365"/>
    <n v="7296"/>
    <x v="310"/>
    <s v="Nill"/>
    <s v="Bank Transfer"/>
    <x v="6"/>
    <s v="Petrol"/>
  </r>
  <r>
    <s v="T5592"/>
    <s v="U028"/>
    <x v="343"/>
    <x v="332"/>
    <x v="0"/>
    <x v="9"/>
    <x v="366"/>
    <n v="1606"/>
    <x v="311"/>
    <s v="Nill"/>
    <s v="upi"/>
    <x v="4"/>
    <s v="Fixed deposit"/>
  </r>
  <r>
    <s v="T2671"/>
    <s v="U058"/>
    <x v="344"/>
    <x v="333"/>
    <x v="0"/>
    <x v="1"/>
    <x v="367"/>
    <n v="9434"/>
    <x v="312"/>
    <s v="Nill"/>
    <s v="upi"/>
    <x v="4"/>
    <s v="unknown"/>
  </r>
  <r>
    <s v="T6020"/>
    <s v="U092"/>
    <x v="345"/>
    <x v="334"/>
    <x v="0"/>
    <x v="3"/>
    <x v="368"/>
    <n v="3280"/>
    <x v="313"/>
    <s v="Nill"/>
    <s v="Bank Transfer"/>
    <x v="9"/>
    <s v="Not found"/>
  </r>
  <r>
    <s v="T10398"/>
    <s v="U069"/>
    <x v="216"/>
    <x v="213"/>
    <x v="1"/>
    <x v="10"/>
    <x v="369"/>
    <n v="15131"/>
    <x v="2"/>
    <n v="15131"/>
    <s v="Cash"/>
    <x v="3"/>
    <s v="Not found"/>
  </r>
  <r>
    <s v="T9004"/>
    <s v="U011"/>
    <x v="346"/>
    <x v="335"/>
    <x v="0"/>
    <x v="0"/>
    <x v="370"/>
    <n v="886"/>
    <x v="314"/>
    <s v="Nill"/>
    <s v="Cash"/>
    <x v="0"/>
    <s v="Train ticket"/>
  </r>
  <r>
    <s v="T7005"/>
    <s v="U026"/>
    <x v="347"/>
    <x v="336"/>
    <x v="0"/>
    <x v="1"/>
    <x v="371"/>
    <n v="7109"/>
    <x v="315"/>
    <s v="Nill"/>
    <s v="Bank Transfer"/>
    <x v="6"/>
    <s v="Not found"/>
  </r>
  <r>
    <s v="T12998"/>
    <s v="U146"/>
    <x v="325"/>
    <x v="316"/>
    <x v="0"/>
    <x v="4"/>
    <x v="372"/>
    <n v="4201"/>
    <x v="115"/>
    <s v="Nill"/>
    <s v="Cash"/>
    <x v="9"/>
    <s v="Electricity bill"/>
  </r>
  <r>
    <s v="T3988"/>
    <s v="U129"/>
    <x v="348"/>
    <x v="337"/>
    <x v="0"/>
    <x v="3"/>
    <x v="373"/>
    <n v="655"/>
    <x v="316"/>
    <s v="Nill"/>
    <s v="Bank Transfer"/>
    <x v="1"/>
    <s v="ATM withdrawal"/>
  </r>
  <r>
    <s v="T5319"/>
    <s v="U037"/>
    <x v="349"/>
    <x v="338"/>
    <x v="1"/>
    <x v="12"/>
    <x v="374"/>
    <n v="61598"/>
    <x v="2"/>
    <n v="61598"/>
    <s v="Cash"/>
    <x v="7"/>
    <s v="Medicine"/>
  </r>
  <r>
    <s v="T3862"/>
    <s v="U042"/>
    <x v="350"/>
    <x v="339"/>
    <x v="1"/>
    <x v="10"/>
    <x v="375"/>
    <n v="44066"/>
    <x v="2"/>
    <n v="44066"/>
    <s v="Cash"/>
    <x v="5"/>
    <s v="Grocery shopping"/>
  </r>
  <r>
    <s v="T5165"/>
    <s v="U126"/>
    <x v="7"/>
    <x v="7"/>
    <x v="1"/>
    <x v="7"/>
    <x v="376"/>
    <n v="224611"/>
    <x v="2"/>
    <n v="224611"/>
    <s v="upi"/>
    <x v="6"/>
    <s v="Movie tickets"/>
  </r>
  <r>
    <s v="T4714"/>
    <s v="U112"/>
    <x v="351"/>
    <x v="340"/>
    <x v="0"/>
    <x v="1"/>
    <x v="377"/>
    <n v="46284"/>
    <x v="317"/>
    <s v="Nill"/>
    <s v="upi"/>
    <x v="0"/>
    <s v="N/A"/>
  </r>
  <r>
    <s v="T4195"/>
    <s v="U097"/>
    <x v="352"/>
    <x v="341"/>
    <x v="1"/>
    <x v="13"/>
    <x v="378"/>
    <n v="174110"/>
    <x v="2"/>
    <n v="174110"/>
    <s v="card"/>
    <x v="4"/>
    <s v="Gym membership"/>
  </r>
  <r>
    <s v="T11757"/>
    <s v="U068"/>
    <x v="18"/>
    <x v="18"/>
    <x v="0"/>
    <x v="3"/>
    <x v="379"/>
    <n v="2044"/>
    <x v="318"/>
    <s v="Nill"/>
    <s v="Bank Transfer"/>
    <x v="8"/>
    <s v="Online course"/>
  </r>
  <r>
    <s v="T10285"/>
    <s v="U040"/>
    <x v="353"/>
    <x v="342"/>
    <x v="0"/>
    <x v="11"/>
    <x v="380"/>
    <n v="5277"/>
    <x v="319"/>
    <s v="Nill"/>
    <s v="upi"/>
    <x v="5"/>
    <s v="unknown"/>
  </r>
  <r>
    <s v="T10345"/>
    <s v="U058"/>
    <x v="192"/>
    <x v="190"/>
    <x v="0"/>
    <x v="1"/>
    <x v="381"/>
    <n v="47843"/>
    <x v="320"/>
    <s v="Nill"/>
    <s v="upi"/>
    <x v="5"/>
    <s v="EMI payment"/>
  </r>
  <r>
    <s v="T8961"/>
    <s v="U043"/>
    <x v="354"/>
    <x v="343"/>
    <x v="0"/>
    <x v="8"/>
    <x v="382"/>
    <n v="1115"/>
    <x v="321"/>
    <s v="Nill"/>
    <s v="card"/>
    <x v="2"/>
    <s v="Internet bill"/>
  </r>
  <r>
    <s v="T0428"/>
    <s v="U006"/>
    <x v="355"/>
    <x v="344"/>
    <x v="0"/>
    <x v="3"/>
    <x v="383"/>
    <n v="2017"/>
    <x v="322"/>
    <s v="Nill"/>
    <s v="Bank Transfer"/>
    <x v="2"/>
    <s v="Medicine"/>
  </r>
  <r>
    <s v="T9117"/>
    <s v="U119"/>
    <x v="356"/>
    <x v="345"/>
    <x v="0"/>
    <x v="0"/>
    <x v="384"/>
    <n v="2053"/>
    <x v="323"/>
    <s v="Nill"/>
    <s v="Bank Transfer"/>
    <x v="7"/>
    <s v="Gym membership"/>
  </r>
  <r>
    <s v="T9348"/>
    <s v="U007"/>
    <x v="357"/>
    <x v="346"/>
    <x v="0"/>
    <x v="4"/>
    <x v="385"/>
    <n v="8839"/>
    <x v="324"/>
    <s v="Nill"/>
    <s v="Cash"/>
    <x v="7"/>
    <s v="unknown"/>
  </r>
  <r>
    <s v="T3503"/>
    <s v="U017"/>
    <x v="358"/>
    <x v="347"/>
    <x v="0"/>
    <x v="4"/>
    <x v="386"/>
    <n v="9635"/>
    <x v="325"/>
    <s v="Nill"/>
    <s v="Cash"/>
    <x v="4"/>
    <s v="Gym membership"/>
  </r>
  <r>
    <s v="T11648"/>
    <s v="U132"/>
    <x v="359"/>
    <x v="348"/>
    <x v="1"/>
    <x v="5"/>
    <x v="387"/>
    <n v="56581"/>
    <x v="2"/>
    <n v="56581"/>
    <s v="Bank Transfer"/>
    <x v="10"/>
    <s v="test"/>
  </r>
  <r>
    <s v="T0481"/>
    <s v="U108"/>
    <x v="360"/>
    <x v="349"/>
    <x v="0"/>
    <x v="6"/>
    <x v="388"/>
    <n v="392"/>
    <x v="326"/>
    <s v="Nill"/>
    <s v="Bank Transfer"/>
    <x v="8"/>
    <s v="Uber ride"/>
  </r>
  <r>
    <s v="T0341"/>
    <s v="U063"/>
    <x v="3"/>
    <x v="3"/>
    <x v="0"/>
    <x v="11"/>
    <x v="389"/>
    <n v="6027"/>
    <x v="327"/>
    <s v="Nill"/>
    <s v="Bank Transfer"/>
    <x v="4"/>
    <s v="Monthly rent payment"/>
  </r>
  <r>
    <s v="T2248"/>
    <s v="U048"/>
    <x v="361"/>
    <x v="350"/>
    <x v="0"/>
    <x v="1"/>
    <x v="390"/>
    <n v="26916"/>
    <x v="328"/>
    <s v="Nill"/>
    <s v="Cash"/>
    <x v="5"/>
    <s v="Petrol"/>
  </r>
  <r>
    <s v="T3455"/>
    <s v="U150"/>
    <x v="362"/>
    <x v="351"/>
    <x v="0"/>
    <x v="3"/>
    <x v="391"/>
    <n v="994"/>
    <x v="329"/>
    <s v="Nill"/>
    <s v="unknown"/>
    <x v="5"/>
    <s v="test"/>
  </r>
  <r>
    <s v="T12178"/>
    <s v="U072"/>
    <x v="363"/>
    <x v="352"/>
    <x v="1"/>
    <x v="5"/>
    <x v="392"/>
    <n v="63125"/>
    <x v="2"/>
    <n v="63125"/>
    <s v="Cash"/>
    <x v="7"/>
    <s v="misc"/>
  </r>
  <r>
    <s v="T4186"/>
    <s v="U002"/>
    <x v="364"/>
    <x v="353"/>
    <x v="0"/>
    <x v="3"/>
    <x v="393"/>
    <n v="175"/>
    <x v="330"/>
    <s v="Nill"/>
    <s v="Bank Transfer"/>
    <x v="7"/>
    <s v="Not found"/>
  </r>
  <r>
    <s v="T9132"/>
    <s v="U067"/>
    <x v="365"/>
    <x v="354"/>
    <x v="1"/>
    <x v="2"/>
    <x v="394"/>
    <n v="24394"/>
    <x v="2"/>
    <n v="24394"/>
    <s v="upi"/>
    <x v="6"/>
    <s v="Monthly rent payment"/>
  </r>
  <r>
    <s v="T2400"/>
    <s v="U126"/>
    <x v="366"/>
    <x v="355"/>
    <x v="1"/>
    <x v="10"/>
    <x v="395"/>
    <n v="67910"/>
    <x v="2"/>
    <n v="67910"/>
    <s v="Cash"/>
    <x v="6"/>
    <s v="Gym membership"/>
  </r>
  <r>
    <s v="T8437"/>
    <s v="U143"/>
    <x v="367"/>
    <x v="162"/>
    <x v="0"/>
    <x v="0"/>
    <x v="396"/>
    <n v="9531"/>
    <x v="331"/>
    <s v="Nill"/>
    <s v="upi"/>
    <x v="4"/>
    <s v="Gym membership"/>
  </r>
  <r>
    <s v="T8881"/>
    <s v="U090"/>
    <x v="368"/>
    <x v="356"/>
    <x v="0"/>
    <x v="6"/>
    <x v="397"/>
    <n v="7838"/>
    <x v="332"/>
    <s v="Nill"/>
    <s v="upi"/>
    <x v="2"/>
    <s v="Electricity bill"/>
  </r>
  <r>
    <s v="T10071"/>
    <s v="U043"/>
    <x v="369"/>
    <x v="357"/>
    <x v="0"/>
    <x v="3"/>
    <x v="398"/>
    <n v="2511"/>
    <x v="333"/>
    <s v="Nill"/>
    <s v="card"/>
    <x v="7"/>
    <s v="Online course"/>
  </r>
  <r>
    <s v="T13867"/>
    <s v="U026"/>
    <x v="370"/>
    <x v="358"/>
    <x v="0"/>
    <x v="11"/>
    <x v="399"/>
    <n v="7734"/>
    <x v="334"/>
    <s v="Nill"/>
    <s v="Cash"/>
    <x v="3"/>
    <s v="Internet bill"/>
  </r>
  <r>
    <s v="T13196"/>
    <s v="U061"/>
    <x v="371"/>
    <x v="193"/>
    <x v="0"/>
    <x v="1"/>
    <x v="400"/>
    <n v="1461"/>
    <x v="335"/>
    <s v="Nill"/>
    <s v="upi"/>
    <x v="9"/>
    <s v="Coffee"/>
  </r>
  <r>
    <s v="T5099"/>
    <s v="U008"/>
    <x v="372"/>
    <x v="359"/>
    <x v="0"/>
    <x v="0"/>
    <x v="229"/>
    <n v="2398"/>
    <x v="194"/>
    <s v="Nill"/>
    <s v="Bank Transfer"/>
    <x v="7"/>
    <s v="Grocery shopping"/>
  </r>
  <r>
    <s v="T1027"/>
    <s v="U011"/>
    <x v="373"/>
    <x v="360"/>
    <x v="1"/>
    <x v="2"/>
    <x v="401"/>
    <n v="33170"/>
    <x v="2"/>
    <n v="33170"/>
    <s v="card"/>
    <x v="5"/>
    <s v="Restaurant dinner"/>
  </r>
  <r>
    <s v="T2238"/>
    <s v="U023"/>
    <x v="40"/>
    <x v="40"/>
    <x v="0"/>
    <x v="8"/>
    <x v="402"/>
    <n v="7858"/>
    <x v="336"/>
    <s v="Nill"/>
    <s v="unknown"/>
    <x v="5"/>
    <s v="Grocery shopping"/>
  </r>
  <r>
    <s v="T12671"/>
    <s v="U139"/>
    <x v="183"/>
    <x v="181"/>
    <x v="0"/>
    <x v="3"/>
    <x v="403"/>
    <n v="3913"/>
    <x v="337"/>
    <s v="Nill"/>
    <s v="card"/>
    <x v="1"/>
    <s v="Shopping"/>
  </r>
  <r>
    <s v="T4155"/>
    <s v="U042"/>
    <x v="374"/>
    <x v="361"/>
    <x v="0"/>
    <x v="8"/>
    <x v="404"/>
    <n v="5279"/>
    <x v="338"/>
    <s v="Nill"/>
    <s v="Cash"/>
    <x v="9"/>
    <s v="Lunch"/>
  </r>
  <r>
    <s v="T8170"/>
    <s v="U148"/>
    <x v="375"/>
    <x v="362"/>
    <x v="0"/>
    <x v="11"/>
    <x v="405"/>
    <n v="4694"/>
    <x v="339"/>
    <s v="Nill"/>
    <s v="upi"/>
    <x v="0"/>
    <s v="Monthly rent payment"/>
  </r>
  <r>
    <s v="T11558"/>
    <s v="U012"/>
    <x v="376"/>
    <x v="363"/>
    <x v="0"/>
    <x v="3"/>
    <x v="406"/>
    <n v="2060"/>
    <x v="340"/>
    <s v="Nill"/>
    <s v="upi"/>
    <x v="1"/>
    <s v="Fixed deposit"/>
  </r>
  <r>
    <s v="T11219"/>
    <s v="U135"/>
    <x v="128"/>
    <x v="128"/>
    <x v="0"/>
    <x v="1"/>
    <x v="407"/>
    <n v="32436"/>
    <x v="341"/>
    <s v="Nill"/>
    <s v="card"/>
    <x v="3"/>
    <s v="unknown"/>
  </r>
  <r>
    <s v="T13688"/>
    <s v="U003"/>
    <x v="377"/>
    <x v="364"/>
    <x v="0"/>
    <x v="3"/>
    <x v="408"/>
    <n v="7717"/>
    <x v="342"/>
    <s v="Nill"/>
    <s v="unknown"/>
    <x v="4"/>
    <s v="ATM withdrawal"/>
  </r>
  <r>
    <s v="T12772"/>
    <s v="U145"/>
    <x v="340"/>
    <x v="329"/>
    <x v="1"/>
    <x v="7"/>
    <x v="409"/>
    <n v="42921"/>
    <x v="2"/>
    <n v="42921"/>
    <s v="Cash"/>
    <x v="10"/>
    <s v="misc"/>
  </r>
  <r>
    <s v="T13289"/>
    <s v="U072"/>
    <x v="378"/>
    <x v="365"/>
    <x v="0"/>
    <x v="3"/>
    <x v="410"/>
    <n v="3021"/>
    <x v="343"/>
    <s v="Nill"/>
    <s v="Bank Transfer"/>
    <x v="0"/>
    <s v="Not found"/>
  </r>
  <r>
    <s v="T9714"/>
    <s v="U092"/>
    <x v="379"/>
    <x v="366"/>
    <x v="0"/>
    <x v="3"/>
    <x v="411"/>
    <n v="562"/>
    <x v="344"/>
    <s v="Nill"/>
    <s v="card"/>
    <x v="7"/>
    <s v="unknown"/>
  </r>
  <r>
    <s v="T6767"/>
    <s v="U099"/>
    <x v="380"/>
    <x v="367"/>
    <x v="0"/>
    <x v="3"/>
    <x v="412"/>
    <n v="1574"/>
    <x v="345"/>
    <s v="Nill"/>
    <s v="card"/>
    <x v="6"/>
    <s v="ATM withdrawal"/>
  </r>
  <r>
    <s v="T12720"/>
    <s v="U031"/>
    <x v="183"/>
    <x v="181"/>
    <x v="0"/>
    <x v="12"/>
    <x v="413"/>
    <n v="6879"/>
    <x v="346"/>
    <s v="Nill"/>
    <s v="Cash"/>
    <x v="4"/>
    <s v="Movie tickets"/>
  </r>
  <r>
    <s v="T0721"/>
    <s v="U005"/>
    <x v="381"/>
    <x v="368"/>
    <x v="0"/>
    <x v="1"/>
    <x v="414"/>
    <n v="5599"/>
    <x v="347"/>
    <s v="Nill"/>
    <s v="Bank Transfer"/>
    <x v="2"/>
    <s v="N/A"/>
  </r>
  <r>
    <s v="T3212"/>
    <s v="U143"/>
    <x v="382"/>
    <x v="369"/>
    <x v="0"/>
    <x v="4"/>
    <x v="415"/>
    <n v="4374"/>
    <x v="348"/>
    <s v="Nill"/>
    <s v="Bank Transfer"/>
    <x v="1"/>
    <s v="unknown"/>
  </r>
  <r>
    <s v="T8580"/>
    <s v="U118"/>
    <x v="383"/>
    <x v="370"/>
    <x v="0"/>
    <x v="8"/>
    <x v="416"/>
    <n v="552"/>
    <x v="349"/>
    <s v="Nill"/>
    <s v="card"/>
    <x v="6"/>
    <s v="Medicine"/>
  </r>
  <r>
    <s v="T11720"/>
    <s v="U080"/>
    <x v="384"/>
    <x v="371"/>
    <x v="0"/>
    <x v="6"/>
    <x v="417"/>
    <n v="1686"/>
    <x v="350"/>
    <s v="Nill"/>
    <s v="unknown"/>
    <x v="7"/>
    <s v="Not found"/>
  </r>
  <r>
    <s v="T8316"/>
    <s v="U116"/>
    <x v="29"/>
    <x v="29"/>
    <x v="1"/>
    <x v="10"/>
    <x v="418"/>
    <n v="30473"/>
    <x v="2"/>
    <n v="30473"/>
    <s v="Bank Transfer"/>
    <x v="6"/>
    <s v="Shopping"/>
  </r>
  <r>
    <s v="T2817"/>
    <s v="U104"/>
    <x v="139"/>
    <x v="138"/>
    <x v="0"/>
    <x v="6"/>
    <x v="419"/>
    <n v="3325"/>
    <x v="351"/>
    <s v="Nill"/>
    <s v="upi"/>
    <x v="5"/>
    <s v="unknown"/>
  </r>
  <r>
    <s v="T9620"/>
    <s v="U088"/>
    <x v="3"/>
    <x v="3"/>
    <x v="0"/>
    <x v="1"/>
    <x v="420"/>
    <n v="46991"/>
    <x v="352"/>
    <s v="Nill"/>
    <s v="upi"/>
    <x v="4"/>
    <s v="Lunch"/>
  </r>
  <r>
    <s v="T1400"/>
    <s v="U066"/>
    <x v="385"/>
    <x v="372"/>
    <x v="0"/>
    <x v="8"/>
    <x v="421"/>
    <n v="5535"/>
    <x v="353"/>
    <s v="Nill"/>
    <s v="card"/>
    <x v="9"/>
    <s v="Train ticket"/>
  </r>
  <r>
    <s v="T2220"/>
    <s v="U092"/>
    <x v="386"/>
    <x v="373"/>
    <x v="0"/>
    <x v="1"/>
    <x v="422"/>
    <n v="33228"/>
    <x v="354"/>
    <s v="Nill"/>
    <s v="upi"/>
    <x v="9"/>
    <s v="Electricity bill"/>
  </r>
  <r>
    <s v="T9269"/>
    <s v="U093"/>
    <x v="254"/>
    <x v="250"/>
    <x v="0"/>
    <x v="1"/>
    <x v="10"/>
    <n v="15120.822802197803"/>
    <x v="8"/>
    <s v="Nill"/>
    <s v="Bank Transfer"/>
    <x v="2"/>
    <s v="misc"/>
  </r>
  <r>
    <s v="T6710"/>
    <s v="U008"/>
    <x v="387"/>
    <x v="374"/>
    <x v="1"/>
    <x v="2"/>
    <x v="423"/>
    <n v="44802"/>
    <x v="2"/>
    <n v="44802"/>
    <s v="card"/>
    <x v="4"/>
    <s v="Uber ride"/>
  </r>
  <r>
    <s v="T7206"/>
    <s v="U142"/>
    <x v="388"/>
    <x v="375"/>
    <x v="0"/>
    <x v="1"/>
    <x v="424"/>
    <n v="9188"/>
    <x v="355"/>
    <s v="Nill"/>
    <s v="card"/>
    <x v="0"/>
    <s v="Medicine"/>
  </r>
  <r>
    <s v="T7386"/>
    <s v="U054"/>
    <x v="389"/>
    <x v="376"/>
    <x v="0"/>
    <x v="0"/>
    <x v="425"/>
    <n v="8716"/>
    <x v="356"/>
    <s v="Nill"/>
    <s v="Bank Transfer"/>
    <x v="8"/>
    <s v="Books"/>
  </r>
  <r>
    <s v="T0019"/>
    <s v="U011"/>
    <x v="390"/>
    <x v="377"/>
    <x v="0"/>
    <x v="0"/>
    <x v="426"/>
    <n v="9273"/>
    <x v="357"/>
    <s v="Nill"/>
    <s v="card"/>
    <x v="2"/>
    <s v="unknown"/>
  </r>
  <r>
    <s v="T13011"/>
    <s v="U031"/>
    <x v="391"/>
    <x v="378"/>
    <x v="0"/>
    <x v="1"/>
    <x v="427"/>
    <n v="39845"/>
    <x v="358"/>
    <s v="Nill"/>
    <s v="Cash"/>
    <x v="6"/>
    <s v="Restaurant dinner"/>
  </r>
  <r>
    <s v="T5686"/>
    <s v="U139"/>
    <x v="392"/>
    <x v="379"/>
    <x v="1"/>
    <x v="5"/>
    <x v="428"/>
    <n v="18231"/>
    <x v="2"/>
    <n v="18231"/>
    <s v="upi"/>
    <x v="6"/>
    <s v="Train ticket"/>
  </r>
  <r>
    <s v="T13942"/>
    <s v="U125"/>
    <x v="393"/>
    <x v="380"/>
    <x v="0"/>
    <x v="3"/>
    <x v="429"/>
    <n v="9636"/>
    <x v="359"/>
    <s v="Nill"/>
    <s v="Cash"/>
    <x v="10"/>
    <s v="Grocery shopping"/>
  </r>
  <r>
    <s v="T10500"/>
    <s v="U042"/>
    <x v="394"/>
    <x v="381"/>
    <x v="0"/>
    <x v="0"/>
    <x v="430"/>
    <n v="7121"/>
    <x v="360"/>
    <s v="Nill"/>
    <s v="Cash"/>
    <x v="7"/>
    <s v="Fixed deposit"/>
  </r>
  <r>
    <s v="T1516"/>
    <s v="U076"/>
    <x v="395"/>
    <x v="382"/>
    <x v="0"/>
    <x v="9"/>
    <x v="431"/>
    <n v="5447"/>
    <x v="361"/>
    <s v="Nill"/>
    <s v="upi"/>
    <x v="10"/>
    <s v="Shopping"/>
  </r>
  <r>
    <s v="T4498"/>
    <s v="U109"/>
    <x v="396"/>
    <x v="383"/>
    <x v="0"/>
    <x v="7"/>
    <x v="101"/>
    <n v="2163"/>
    <x v="88"/>
    <s v="Nill"/>
    <s v="card"/>
    <x v="7"/>
    <s v="Uber ride"/>
  </r>
  <r>
    <s v="T0053"/>
    <s v="U089"/>
    <x v="397"/>
    <x v="384"/>
    <x v="0"/>
    <x v="3"/>
    <x v="432"/>
    <n v="6402"/>
    <x v="362"/>
    <s v="Nill"/>
    <s v="upi"/>
    <x v="5"/>
    <s v="Monthly rent payment"/>
  </r>
  <r>
    <s v="T5945"/>
    <s v="U039"/>
    <x v="381"/>
    <x v="368"/>
    <x v="0"/>
    <x v="1"/>
    <x v="433"/>
    <n v="19467"/>
    <x v="363"/>
    <s v="Nill"/>
    <s v="Bank Transfer"/>
    <x v="2"/>
    <s v="Gym membership"/>
  </r>
  <r>
    <s v="T4812"/>
    <s v="U066"/>
    <x v="398"/>
    <x v="385"/>
    <x v="0"/>
    <x v="9"/>
    <x v="434"/>
    <n v="1336"/>
    <x v="364"/>
    <s v="Nill"/>
    <s v="Cash"/>
    <x v="0"/>
    <s v="N/A"/>
  </r>
  <r>
    <s v="T4854"/>
    <s v="U111"/>
    <x v="399"/>
    <x v="386"/>
    <x v="0"/>
    <x v="8"/>
    <x v="435"/>
    <n v="7761"/>
    <x v="365"/>
    <s v="Nill"/>
    <s v="Cash"/>
    <x v="2"/>
    <s v="Coffee"/>
  </r>
  <r>
    <s v="T5368"/>
    <s v="U033"/>
    <x v="400"/>
    <x v="387"/>
    <x v="0"/>
    <x v="12"/>
    <x v="436"/>
    <n v="9556"/>
    <x v="366"/>
    <s v="Nill"/>
    <s v="Bank Transfer"/>
    <x v="4"/>
    <s v="unknown"/>
  </r>
  <r>
    <s v="T8845"/>
    <s v="U040"/>
    <x v="384"/>
    <x v="371"/>
    <x v="0"/>
    <x v="6"/>
    <x v="437"/>
    <n v="8138"/>
    <x v="367"/>
    <s v="Nill"/>
    <s v="Bank Transfer"/>
    <x v="8"/>
    <s v="Fixed deposit"/>
  </r>
  <r>
    <s v="T7231"/>
    <s v="U038"/>
    <x v="401"/>
    <x v="388"/>
    <x v="1"/>
    <x v="12"/>
    <x v="438"/>
    <n v="13959"/>
    <x v="2"/>
    <n v="13959"/>
    <s v="Cash"/>
    <x v="7"/>
    <s v="ATM withdrawal"/>
  </r>
  <r>
    <s v="T2058"/>
    <s v="U121"/>
    <x v="402"/>
    <x v="389"/>
    <x v="0"/>
    <x v="11"/>
    <x v="439"/>
    <n v="3084"/>
    <x v="368"/>
    <s v="Nill"/>
    <s v="Cash"/>
    <x v="9"/>
    <s v="Train ticket"/>
  </r>
  <r>
    <s v="T12121"/>
    <s v="U105"/>
    <x v="403"/>
    <x v="294"/>
    <x v="0"/>
    <x v="0"/>
    <x v="440"/>
    <n v="887"/>
    <x v="369"/>
    <s v="Nill"/>
    <s v="upi"/>
    <x v="5"/>
    <s v="Fixed deposit"/>
  </r>
  <r>
    <s v="T7330"/>
    <s v="U147"/>
    <x v="404"/>
    <x v="390"/>
    <x v="0"/>
    <x v="3"/>
    <x v="441"/>
    <n v="7874"/>
    <x v="370"/>
    <s v="Nill"/>
    <s v="Bank Transfer"/>
    <x v="8"/>
    <s v="EMI payment"/>
  </r>
  <r>
    <s v="T8770"/>
    <s v="U028"/>
    <x v="405"/>
    <x v="391"/>
    <x v="0"/>
    <x v="6"/>
    <x v="363"/>
    <n v="7174"/>
    <x v="309"/>
    <s v="Nill"/>
    <s v="upi"/>
    <x v="2"/>
    <s v="Medicine"/>
  </r>
  <r>
    <s v="T13194"/>
    <s v="U017"/>
    <x v="406"/>
    <x v="392"/>
    <x v="0"/>
    <x v="8"/>
    <x v="442"/>
    <n v="5391"/>
    <x v="371"/>
    <s v="Nill"/>
    <s v="unknown"/>
    <x v="9"/>
    <s v="test"/>
  </r>
  <r>
    <s v="T8201"/>
    <s v="U104"/>
    <x v="407"/>
    <x v="393"/>
    <x v="0"/>
    <x v="6"/>
    <x v="443"/>
    <n v="4771"/>
    <x v="372"/>
    <s v="Nill"/>
    <s v="Bank Transfer"/>
    <x v="8"/>
    <s v="Medicine"/>
  </r>
  <r>
    <s v="T11881"/>
    <s v="U089"/>
    <x v="408"/>
    <x v="42"/>
    <x v="0"/>
    <x v="4"/>
    <x v="444"/>
    <n v="9430"/>
    <x v="373"/>
    <s v="Nill"/>
    <s v="Bank Transfer"/>
    <x v="4"/>
    <s v="unknown"/>
  </r>
  <r>
    <s v="T12496"/>
    <s v="U018"/>
    <x v="409"/>
    <x v="394"/>
    <x v="0"/>
    <x v="3"/>
    <x v="445"/>
    <n v="5045"/>
    <x v="374"/>
    <s v="Nill"/>
    <s v="Cash"/>
    <x v="7"/>
    <s v="Gym membership"/>
  </r>
  <r>
    <s v="T6321"/>
    <s v="U138"/>
    <x v="410"/>
    <x v="395"/>
    <x v="0"/>
    <x v="1"/>
    <x v="446"/>
    <n v="29287"/>
    <x v="375"/>
    <s v="Nill"/>
    <s v="card"/>
    <x v="6"/>
    <s v="Internet bill"/>
  </r>
  <r>
    <s v="T9997"/>
    <s v="U105"/>
    <x v="411"/>
    <x v="396"/>
    <x v="0"/>
    <x v="8"/>
    <x v="447"/>
    <n v="9991"/>
    <x v="376"/>
    <s v="Nill"/>
    <s v="Bank Transfer"/>
    <x v="3"/>
    <s v="Grocery shopping"/>
  </r>
  <r>
    <s v="T6756"/>
    <s v="U091"/>
    <x v="412"/>
    <x v="397"/>
    <x v="0"/>
    <x v="0"/>
    <x v="448"/>
    <n v="3891"/>
    <x v="377"/>
    <s v="Nill"/>
    <s v="Cash"/>
    <x v="1"/>
    <s v="misc"/>
  </r>
  <r>
    <s v="T3533"/>
    <s v="U130"/>
    <x v="413"/>
    <x v="398"/>
    <x v="0"/>
    <x v="1"/>
    <x v="449"/>
    <n v="37865"/>
    <x v="378"/>
    <s v="Nill"/>
    <s v="upi"/>
    <x v="2"/>
    <s v="test"/>
  </r>
  <r>
    <s v="T6023"/>
    <s v="U033"/>
    <x v="414"/>
    <x v="399"/>
    <x v="0"/>
    <x v="1"/>
    <x v="10"/>
    <n v="15120.822802197803"/>
    <x v="8"/>
    <s v="Nill"/>
    <s v="Bank Transfer"/>
    <x v="3"/>
    <s v="EMI payment"/>
  </r>
  <r>
    <s v="T11620"/>
    <s v="U149"/>
    <x v="415"/>
    <x v="400"/>
    <x v="0"/>
    <x v="7"/>
    <x v="450"/>
    <n v="4955"/>
    <x v="379"/>
    <s v="Nill"/>
    <s v="card"/>
    <x v="7"/>
    <s v="Movie tickets"/>
  </r>
  <r>
    <s v="T1544"/>
    <s v="U083"/>
    <x v="416"/>
    <x v="401"/>
    <x v="0"/>
    <x v="1"/>
    <x v="451"/>
    <n v="9757"/>
    <x v="380"/>
    <s v="Nill"/>
    <s v="Bank Transfer"/>
    <x v="1"/>
    <s v="unknown"/>
  </r>
  <r>
    <s v="T5786"/>
    <s v="U149"/>
    <x v="299"/>
    <x v="290"/>
    <x v="1"/>
    <x v="5"/>
    <x v="452"/>
    <n v="43818"/>
    <x v="2"/>
    <n v="43818"/>
    <s v="Bank Transfer"/>
    <x v="6"/>
    <s v="unknown"/>
  </r>
  <r>
    <s v="T4990"/>
    <s v="U093"/>
    <x v="417"/>
    <x v="402"/>
    <x v="0"/>
    <x v="8"/>
    <x v="453"/>
    <n v="3607"/>
    <x v="381"/>
    <s v="Nill"/>
    <s v="card"/>
    <x v="0"/>
    <s v="Medicine"/>
  </r>
  <r>
    <s v="T5113"/>
    <s v="U094"/>
    <x v="418"/>
    <x v="386"/>
    <x v="0"/>
    <x v="9"/>
    <x v="454"/>
    <n v="1150"/>
    <x v="382"/>
    <s v="Nill"/>
    <s v="Bank Transfer"/>
    <x v="8"/>
    <s v="Online course"/>
  </r>
  <r>
    <s v="T0591"/>
    <s v="U021"/>
    <x v="419"/>
    <x v="403"/>
    <x v="0"/>
    <x v="7"/>
    <x v="10"/>
    <n v="15120.822802197803"/>
    <x v="8"/>
    <s v="Nill"/>
    <s v="Bank Transfer"/>
    <x v="10"/>
    <s v="unknown"/>
  </r>
  <r>
    <s v="T7367"/>
    <s v="U063"/>
    <x v="420"/>
    <x v="404"/>
    <x v="0"/>
    <x v="3"/>
    <x v="455"/>
    <n v="1453"/>
    <x v="383"/>
    <s v="Nill"/>
    <s v="card"/>
    <x v="4"/>
    <s v="Train ticket"/>
  </r>
  <r>
    <s v="T7885"/>
    <s v="U040"/>
    <x v="421"/>
    <x v="405"/>
    <x v="1"/>
    <x v="5"/>
    <x v="456"/>
    <n v="69923"/>
    <x v="2"/>
    <n v="69923"/>
    <s v="Bank Transfer"/>
    <x v="1"/>
    <s v="unknown"/>
  </r>
  <r>
    <s v="T8892"/>
    <s v="U063"/>
    <x v="422"/>
    <x v="406"/>
    <x v="0"/>
    <x v="3"/>
    <x v="457"/>
    <n v="9369"/>
    <x v="384"/>
    <s v="Nill"/>
    <s v="Bank Transfer"/>
    <x v="1"/>
    <s v="Grocery shopping"/>
  </r>
  <r>
    <s v="T1799"/>
    <s v="U086"/>
    <x v="423"/>
    <x v="407"/>
    <x v="0"/>
    <x v="3"/>
    <x v="285"/>
    <n v="2186"/>
    <x v="241"/>
    <s v="Nill"/>
    <s v="Bank Transfer"/>
    <x v="7"/>
    <s v="Train ticket"/>
  </r>
  <r>
    <s v="T13397"/>
    <s v="U132"/>
    <x v="424"/>
    <x v="408"/>
    <x v="0"/>
    <x v="4"/>
    <x v="458"/>
    <n v="2642"/>
    <x v="385"/>
    <s v="Nill"/>
    <s v="Cash"/>
    <x v="6"/>
    <s v="unknown"/>
  </r>
  <r>
    <s v="T6170"/>
    <s v="U073"/>
    <x v="425"/>
    <x v="409"/>
    <x v="1"/>
    <x v="10"/>
    <x v="459"/>
    <n v="27454"/>
    <x v="2"/>
    <n v="27454"/>
    <s v="unknown"/>
    <x v="5"/>
    <s v="EMI payment"/>
  </r>
  <r>
    <s v="T4918"/>
    <s v="U130"/>
    <x v="426"/>
    <x v="410"/>
    <x v="0"/>
    <x v="1"/>
    <x v="460"/>
    <n v="20656"/>
    <x v="386"/>
    <s v="Nill"/>
    <s v="card"/>
    <x v="5"/>
    <s v="unknown"/>
  </r>
  <r>
    <s v="T13238"/>
    <s v="U059"/>
    <x v="427"/>
    <x v="411"/>
    <x v="1"/>
    <x v="10"/>
    <x v="461"/>
    <n v="10347"/>
    <x v="2"/>
    <n v="10347"/>
    <s v="Cash"/>
    <x v="2"/>
    <s v="Monthly rent payment"/>
  </r>
  <r>
    <s v="T3437"/>
    <s v="U092"/>
    <x v="428"/>
    <x v="14"/>
    <x v="1"/>
    <x v="5"/>
    <x v="10"/>
    <n v="15120.822802197803"/>
    <x v="2"/>
    <n v="15120.822802197803"/>
    <s v="card"/>
    <x v="9"/>
    <s v="Shopping"/>
  </r>
  <r>
    <s v="T9845"/>
    <s v="U086"/>
    <x v="429"/>
    <x v="412"/>
    <x v="0"/>
    <x v="8"/>
    <x v="462"/>
    <n v="388"/>
    <x v="387"/>
    <s v="Nill"/>
    <s v="card"/>
    <x v="10"/>
    <s v="Shopping"/>
  </r>
  <r>
    <s v="T12697"/>
    <s v="U004"/>
    <x v="430"/>
    <x v="413"/>
    <x v="0"/>
    <x v="3"/>
    <x v="10"/>
    <n v="15120.822802197803"/>
    <x v="8"/>
    <s v="Nill"/>
    <s v="upi"/>
    <x v="9"/>
    <s v="Coffee"/>
  </r>
  <r>
    <s v="T3845"/>
    <s v="U117"/>
    <x v="397"/>
    <x v="384"/>
    <x v="0"/>
    <x v="3"/>
    <x v="463"/>
    <n v="3756"/>
    <x v="388"/>
    <s v="Nill"/>
    <s v="Bank Transfer"/>
    <x v="9"/>
    <s v="Grocery shopping"/>
  </r>
  <r>
    <s v="T9152"/>
    <s v="U068"/>
    <x v="431"/>
    <x v="414"/>
    <x v="0"/>
    <x v="7"/>
    <x v="464"/>
    <n v="4153"/>
    <x v="389"/>
    <s v="Nill"/>
    <s v="upi"/>
    <x v="6"/>
    <s v="unknown"/>
  </r>
  <r>
    <s v="T5889"/>
    <s v="U061"/>
    <x v="432"/>
    <x v="103"/>
    <x v="1"/>
    <x v="13"/>
    <x v="465"/>
    <n v="36129"/>
    <x v="2"/>
    <n v="36129"/>
    <s v="upi"/>
    <x v="5"/>
    <s v="Books"/>
  </r>
  <r>
    <s v="T1409"/>
    <s v="U060"/>
    <x v="433"/>
    <x v="415"/>
    <x v="0"/>
    <x v="8"/>
    <x v="466"/>
    <n v="384"/>
    <x v="390"/>
    <s v="Nill"/>
    <s v="Bank Transfer"/>
    <x v="6"/>
    <s v="Coffee"/>
  </r>
  <r>
    <s v="T13399"/>
    <s v="U119"/>
    <x v="434"/>
    <x v="416"/>
    <x v="0"/>
    <x v="4"/>
    <x v="467"/>
    <n v="3700"/>
    <x v="391"/>
    <s v="Nill"/>
    <s v="card"/>
    <x v="0"/>
    <s v="Doctor consultation"/>
  </r>
  <r>
    <s v="T7644"/>
    <s v="U076"/>
    <x v="435"/>
    <x v="417"/>
    <x v="0"/>
    <x v="3"/>
    <x v="468"/>
    <n v="3901"/>
    <x v="392"/>
    <s v="Nill"/>
    <s v="Bank Transfer"/>
    <x v="4"/>
    <s v="Monthly rent payment"/>
  </r>
  <r>
    <s v="T0997"/>
    <s v="U087"/>
    <x v="436"/>
    <x v="418"/>
    <x v="0"/>
    <x v="1"/>
    <x v="469"/>
    <n v="3507"/>
    <x v="393"/>
    <s v="Nill"/>
    <s v="upi"/>
    <x v="6"/>
    <s v="Not found"/>
  </r>
  <r>
    <s v="T8909"/>
    <s v="U002"/>
    <x v="60"/>
    <x v="60"/>
    <x v="0"/>
    <x v="4"/>
    <x v="470"/>
    <n v="9883"/>
    <x v="394"/>
    <s v="Nill"/>
    <s v="Cash"/>
    <x v="7"/>
    <s v="Not found"/>
  </r>
  <r>
    <s v="T10044"/>
    <s v="U062"/>
    <x v="437"/>
    <x v="419"/>
    <x v="1"/>
    <x v="5"/>
    <x v="471"/>
    <n v="63348"/>
    <x v="2"/>
    <n v="63348"/>
    <s v="card"/>
    <x v="5"/>
    <s v="Petrol"/>
  </r>
  <r>
    <s v="T0328"/>
    <s v="U095"/>
    <x v="7"/>
    <x v="7"/>
    <x v="1"/>
    <x v="10"/>
    <x v="472"/>
    <n v="45361"/>
    <x v="2"/>
    <n v="45361"/>
    <s v="card"/>
    <x v="1"/>
    <s v="Electricity bill"/>
  </r>
  <r>
    <s v="T1479"/>
    <s v="U045"/>
    <x v="438"/>
    <x v="420"/>
    <x v="0"/>
    <x v="3"/>
    <x v="473"/>
    <n v="236"/>
    <x v="395"/>
    <s v="Nill"/>
    <s v="Cash"/>
    <x v="3"/>
    <s v="Online course"/>
  </r>
  <r>
    <s v="T6902"/>
    <s v="U016"/>
    <x v="439"/>
    <x v="421"/>
    <x v="0"/>
    <x v="1"/>
    <x v="474"/>
    <n v="6168"/>
    <x v="396"/>
    <s v="Nill"/>
    <s v="unknown"/>
    <x v="10"/>
    <s v="Lunch"/>
  </r>
  <r>
    <s v="T2648"/>
    <s v="U033"/>
    <x v="440"/>
    <x v="422"/>
    <x v="0"/>
    <x v="1"/>
    <x v="475"/>
    <n v="6798"/>
    <x v="397"/>
    <s v="Nill"/>
    <s v="Cash"/>
    <x v="2"/>
    <s v="Shopping"/>
  </r>
  <r>
    <s v="T12733"/>
    <s v="U057"/>
    <x v="441"/>
    <x v="423"/>
    <x v="0"/>
    <x v="3"/>
    <x v="476"/>
    <n v="4051"/>
    <x v="398"/>
    <s v="Nill"/>
    <s v="card"/>
    <x v="2"/>
    <s v="Grocery shopping"/>
  </r>
  <r>
    <s v="T11044"/>
    <s v="U145"/>
    <x v="442"/>
    <x v="424"/>
    <x v="0"/>
    <x v="11"/>
    <x v="477"/>
    <n v="7998"/>
    <x v="399"/>
    <s v="Nill"/>
    <s v="upi"/>
    <x v="4"/>
    <s v="EMI payment"/>
  </r>
  <r>
    <s v="T4115"/>
    <s v="U053"/>
    <x v="443"/>
    <x v="425"/>
    <x v="0"/>
    <x v="3"/>
    <x v="478"/>
    <n v="1255"/>
    <x v="400"/>
    <s v="Nill"/>
    <s v="Bank Transfer"/>
    <x v="2"/>
    <s v="Movie tickets"/>
  </r>
  <r>
    <s v="T13558"/>
    <s v="U080"/>
    <x v="389"/>
    <x v="376"/>
    <x v="0"/>
    <x v="8"/>
    <x v="479"/>
    <n v="1621"/>
    <x v="401"/>
    <s v="Nill"/>
    <s v="card"/>
    <x v="10"/>
    <s v="Not found"/>
  </r>
  <r>
    <s v="T12420"/>
    <s v="U044"/>
    <x v="444"/>
    <x v="426"/>
    <x v="0"/>
    <x v="6"/>
    <x v="480"/>
    <n v="6725"/>
    <x v="402"/>
    <s v="Nill"/>
    <s v="Cash"/>
    <x v="7"/>
    <s v="unknown"/>
  </r>
  <r>
    <s v="T3532"/>
    <s v="U121"/>
    <x v="3"/>
    <x v="3"/>
    <x v="0"/>
    <x v="9"/>
    <x v="481"/>
    <n v="6113"/>
    <x v="403"/>
    <s v="Nill"/>
    <s v="card"/>
    <x v="6"/>
    <s v="Shopping"/>
  </r>
  <r>
    <s v="T9183"/>
    <s v="U137"/>
    <x v="190"/>
    <x v="188"/>
    <x v="0"/>
    <x v="3"/>
    <x v="482"/>
    <n v="2799"/>
    <x v="404"/>
    <s v="Nill"/>
    <s v="Cash"/>
    <x v="1"/>
    <s v="Shopping"/>
  </r>
  <r>
    <s v="T7634"/>
    <s v="U033"/>
    <x v="445"/>
    <x v="427"/>
    <x v="0"/>
    <x v="6"/>
    <x v="483"/>
    <n v="4958"/>
    <x v="405"/>
    <s v="Nill"/>
    <s v="Bank Transfer"/>
    <x v="8"/>
    <s v="unknown"/>
  </r>
  <r>
    <s v="T5344"/>
    <s v="U122"/>
    <x v="446"/>
    <x v="428"/>
    <x v="0"/>
    <x v="3"/>
    <x v="484"/>
    <n v="1099"/>
    <x v="406"/>
    <s v="Nill"/>
    <s v="Bank Transfer"/>
    <x v="4"/>
    <s v="Books"/>
  </r>
  <r>
    <s v="T13242"/>
    <s v="U031"/>
    <x v="447"/>
    <x v="429"/>
    <x v="0"/>
    <x v="0"/>
    <x v="485"/>
    <n v="5642"/>
    <x v="407"/>
    <s v="Nill"/>
    <s v="card"/>
    <x v="2"/>
    <s v="Gym membership"/>
  </r>
  <r>
    <s v="T4096"/>
    <s v="U047"/>
    <x v="448"/>
    <x v="430"/>
    <x v="0"/>
    <x v="1"/>
    <x v="486"/>
    <n v="1020"/>
    <x v="408"/>
    <s v="Nill"/>
    <s v="Cash"/>
    <x v="2"/>
    <s v="unknown"/>
  </r>
  <r>
    <s v="T0987"/>
    <s v="U049"/>
    <x v="449"/>
    <x v="431"/>
    <x v="0"/>
    <x v="3"/>
    <x v="487"/>
    <n v="3738"/>
    <x v="409"/>
    <s v="Nill"/>
    <s v="Bank Transfer"/>
    <x v="10"/>
    <s v="unknown"/>
  </r>
  <r>
    <s v="T7842"/>
    <s v="U087"/>
    <x v="407"/>
    <x v="393"/>
    <x v="0"/>
    <x v="1"/>
    <x v="488"/>
    <n v="3192"/>
    <x v="410"/>
    <s v="Nill"/>
    <s v="Cash"/>
    <x v="5"/>
    <s v="unknown"/>
  </r>
  <r>
    <s v="T6844"/>
    <s v="U012"/>
    <x v="227"/>
    <x v="224"/>
    <x v="0"/>
    <x v="9"/>
    <x v="489"/>
    <n v="7691"/>
    <x v="411"/>
    <s v="Nill"/>
    <s v="upi"/>
    <x v="9"/>
    <s v="unknown"/>
  </r>
  <r>
    <s v="T4457"/>
    <s v="U139"/>
    <x v="450"/>
    <x v="432"/>
    <x v="0"/>
    <x v="8"/>
    <x v="490"/>
    <n v="9222"/>
    <x v="412"/>
    <s v="Nill"/>
    <s v="card"/>
    <x v="7"/>
    <s v="Not found"/>
  </r>
  <r>
    <s v="T5843"/>
    <s v="U124"/>
    <x v="451"/>
    <x v="433"/>
    <x v="0"/>
    <x v="4"/>
    <x v="491"/>
    <n v="4241"/>
    <x v="413"/>
    <s v="Nill"/>
    <s v="Cash"/>
    <x v="1"/>
    <s v="Grocery shopping"/>
  </r>
  <r>
    <s v="T8397"/>
    <s v="U144"/>
    <x v="452"/>
    <x v="434"/>
    <x v="0"/>
    <x v="3"/>
    <x v="492"/>
    <n v="1180"/>
    <x v="414"/>
    <s v="Nill"/>
    <s v="Bank Transfer"/>
    <x v="5"/>
    <s v="Medicine"/>
  </r>
  <r>
    <s v="T12986"/>
    <s v="U022"/>
    <x v="3"/>
    <x v="3"/>
    <x v="0"/>
    <x v="3"/>
    <x v="493"/>
    <n v="1889"/>
    <x v="415"/>
    <s v="Nill"/>
    <s v="card"/>
    <x v="5"/>
    <s v="EMI payment"/>
  </r>
  <r>
    <s v="T1364"/>
    <s v="U048"/>
    <x v="453"/>
    <x v="435"/>
    <x v="0"/>
    <x v="1"/>
    <x v="494"/>
    <n v="36056"/>
    <x v="416"/>
    <s v="Nill"/>
    <s v="upi"/>
    <x v="10"/>
    <s v="unknown"/>
  </r>
  <r>
    <s v="T6632"/>
    <s v="U009"/>
    <x v="248"/>
    <x v="245"/>
    <x v="0"/>
    <x v="1"/>
    <x v="495"/>
    <n v="6358"/>
    <x v="417"/>
    <s v="Nill"/>
    <s v="card"/>
    <x v="2"/>
    <s v="Uber ride"/>
  </r>
  <r>
    <s v="T2424"/>
    <s v="U069"/>
    <x v="454"/>
    <x v="436"/>
    <x v="0"/>
    <x v="1"/>
    <x v="496"/>
    <n v="5345"/>
    <x v="418"/>
    <s v="Nill"/>
    <s v="Bank Transfer"/>
    <x v="7"/>
    <s v="EMI payment"/>
  </r>
  <r>
    <s v="T9900"/>
    <s v="U048"/>
    <x v="120"/>
    <x v="120"/>
    <x v="0"/>
    <x v="8"/>
    <x v="497"/>
    <n v="702"/>
    <x v="419"/>
    <s v="Nill"/>
    <s v="Bank Transfer"/>
    <x v="4"/>
    <s v="Petrol"/>
  </r>
  <r>
    <s v="T0903"/>
    <s v="U102"/>
    <x v="455"/>
    <x v="323"/>
    <x v="0"/>
    <x v="4"/>
    <x v="498"/>
    <n v="7292"/>
    <x v="420"/>
    <s v="Nill"/>
    <s v="upi"/>
    <x v="8"/>
    <s v="Movie tickets"/>
  </r>
  <r>
    <s v="T3847"/>
    <s v="U134"/>
    <x v="456"/>
    <x v="437"/>
    <x v="0"/>
    <x v="6"/>
    <x v="499"/>
    <n v="941"/>
    <x v="421"/>
    <s v="Nill"/>
    <s v="Cash"/>
    <x v="5"/>
    <s v="Fixed deposit"/>
  </r>
  <r>
    <s v="T13825"/>
    <s v="U127"/>
    <x v="457"/>
    <x v="438"/>
    <x v="0"/>
    <x v="3"/>
    <x v="500"/>
    <n v="6574"/>
    <x v="422"/>
    <s v="Nill"/>
    <s v="upi"/>
    <x v="6"/>
    <s v="Petrol"/>
  </r>
  <r>
    <s v="T3164"/>
    <s v="U023"/>
    <x v="458"/>
    <x v="439"/>
    <x v="0"/>
    <x v="8"/>
    <x v="501"/>
    <n v="409"/>
    <x v="423"/>
    <s v="Nill"/>
    <s v="upi"/>
    <x v="8"/>
    <s v="ATM withdrawal"/>
  </r>
  <r>
    <s v="T12585"/>
    <s v="U136"/>
    <x v="459"/>
    <x v="440"/>
    <x v="1"/>
    <x v="7"/>
    <x v="502"/>
    <n v="32906"/>
    <x v="2"/>
    <n v="32906"/>
    <s v="upi"/>
    <x v="5"/>
    <s v="Gym membership"/>
  </r>
  <r>
    <s v="T5542"/>
    <s v="U018"/>
    <x v="366"/>
    <x v="355"/>
    <x v="0"/>
    <x v="8"/>
    <x v="503"/>
    <n v="0"/>
    <x v="424"/>
    <s v="Nill"/>
    <s v="Bank Transfer"/>
    <x v="9"/>
    <s v="Restaurant dinner"/>
  </r>
  <r>
    <s v="T5327"/>
    <s v="U072"/>
    <x v="439"/>
    <x v="421"/>
    <x v="0"/>
    <x v="3"/>
    <x v="504"/>
    <n v="3903"/>
    <x v="425"/>
    <s v="Nill"/>
    <s v="Cash"/>
    <x v="6"/>
    <s v="Grocery shopping"/>
  </r>
  <r>
    <s v="T8454"/>
    <s v="U087"/>
    <x v="460"/>
    <x v="441"/>
    <x v="0"/>
    <x v="8"/>
    <x v="505"/>
    <n v="9694"/>
    <x v="426"/>
    <s v="Nill"/>
    <s v="Cash"/>
    <x v="9"/>
    <s v="misc"/>
  </r>
  <r>
    <s v="T12124"/>
    <s v="U037"/>
    <x v="32"/>
    <x v="32"/>
    <x v="0"/>
    <x v="4"/>
    <x v="506"/>
    <n v="9013"/>
    <x v="427"/>
    <s v="Nill"/>
    <s v="upi"/>
    <x v="2"/>
    <s v="unknown"/>
  </r>
  <r>
    <s v="T4591"/>
    <s v="U091"/>
    <x v="397"/>
    <x v="384"/>
    <x v="0"/>
    <x v="6"/>
    <x v="507"/>
    <n v="1980"/>
    <x v="428"/>
    <s v="Nill"/>
    <s v="Cash"/>
    <x v="9"/>
    <s v="Lunch"/>
  </r>
  <r>
    <s v="T12097"/>
    <s v="U132"/>
    <x v="461"/>
    <x v="442"/>
    <x v="0"/>
    <x v="6"/>
    <x v="508"/>
    <n v="7818"/>
    <x v="429"/>
    <s v="Nill"/>
    <s v="upi"/>
    <x v="9"/>
    <s v="Internet bill"/>
  </r>
  <r>
    <s v="T12210"/>
    <s v="U118"/>
    <x v="75"/>
    <x v="75"/>
    <x v="0"/>
    <x v="1"/>
    <x v="77"/>
    <n v="20509"/>
    <x v="68"/>
    <s v="Nill"/>
    <s v="Bank Transfer"/>
    <x v="2"/>
    <s v="Train ticket"/>
  </r>
  <r>
    <s v="T2661"/>
    <s v="U078"/>
    <x v="462"/>
    <x v="443"/>
    <x v="0"/>
    <x v="1"/>
    <x v="509"/>
    <n v="9237"/>
    <x v="430"/>
    <s v="Nill"/>
    <s v="upi"/>
    <x v="0"/>
    <s v="unknown"/>
  </r>
  <r>
    <s v="T6007"/>
    <s v="U138"/>
    <x v="463"/>
    <x v="444"/>
    <x v="0"/>
    <x v="11"/>
    <x v="510"/>
    <n v="6682"/>
    <x v="431"/>
    <s v="Nill"/>
    <s v="Cash"/>
    <x v="10"/>
    <s v="Movie tickets"/>
  </r>
  <r>
    <s v="T4407"/>
    <s v="U143"/>
    <x v="464"/>
    <x v="445"/>
    <x v="0"/>
    <x v="0"/>
    <x v="511"/>
    <n v="6714"/>
    <x v="432"/>
    <s v="Nill"/>
    <s v="Bank Transfer"/>
    <x v="1"/>
    <s v="unknown"/>
  </r>
  <r>
    <s v="T5887"/>
    <s v="U060"/>
    <x v="465"/>
    <x v="446"/>
    <x v="0"/>
    <x v="8"/>
    <x v="512"/>
    <n v="8859"/>
    <x v="433"/>
    <s v="Nill"/>
    <s v="Cash"/>
    <x v="5"/>
    <s v="Internet bill"/>
  </r>
  <r>
    <s v="T6734"/>
    <s v="U110"/>
    <x v="466"/>
    <x v="447"/>
    <x v="0"/>
    <x v="8"/>
    <x v="513"/>
    <n v="1098"/>
    <x v="434"/>
    <s v="Nill"/>
    <s v="unknown"/>
    <x v="8"/>
    <s v="unknown"/>
  </r>
  <r>
    <s v="T9475"/>
    <s v="U092"/>
    <x v="467"/>
    <x v="448"/>
    <x v="1"/>
    <x v="2"/>
    <x v="514"/>
    <n v="35719"/>
    <x v="2"/>
    <n v="35719"/>
    <s v="upi"/>
    <x v="8"/>
    <s v="Fixed deposit"/>
  </r>
  <r>
    <s v="T4511"/>
    <s v="U107"/>
    <x v="468"/>
    <x v="449"/>
    <x v="0"/>
    <x v="8"/>
    <x v="515"/>
    <n v="6170"/>
    <x v="435"/>
    <s v="Nill"/>
    <s v="card"/>
    <x v="2"/>
    <s v="unknown"/>
  </r>
  <r>
    <s v="T12067"/>
    <s v="U046"/>
    <x v="395"/>
    <x v="382"/>
    <x v="0"/>
    <x v="3"/>
    <x v="516"/>
    <n v="2318"/>
    <x v="436"/>
    <s v="Nill"/>
    <s v="Bank Transfer"/>
    <x v="10"/>
    <s v="Gym membership"/>
  </r>
  <r>
    <s v="T9561"/>
    <s v="U117"/>
    <x v="469"/>
    <x v="450"/>
    <x v="0"/>
    <x v="8"/>
    <x v="517"/>
    <n v="6354"/>
    <x v="437"/>
    <s v="Nill"/>
    <s v="Bank Transfer"/>
    <x v="4"/>
    <s v="unknown"/>
  </r>
  <r>
    <s v="T9929"/>
    <s v="U102"/>
    <x v="470"/>
    <x v="451"/>
    <x v="0"/>
    <x v="6"/>
    <x v="518"/>
    <n v="8158"/>
    <x v="438"/>
    <s v="Nill"/>
    <s v="card"/>
    <x v="0"/>
    <s v="ATM withdrawal"/>
  </r>
  <r>
    <s v="T5732"/>
    <s v="U038"/>
    <x v="471"/>
    <x v="452"/>
    <x v="0"/>
    <x v="3"/>
    <x v="519"/>
    <n v="1702"/>
    <x v="439"/>
    <s v="Nill"/>
    <s v="upi"/>
    <x v="8"/>
    <s v="Medicine"/>
  </r>
  <r>
    <s v="T9603"/>
    <s v="U145"/>
    <x v="391"/>
    <x v="378"/>
    <x v="0"/>
    <x v="1"/>
    <x v="520"/>
    <n v="6760"/>
    <x v="440"/>
    <s v="Nill"/>
    <s v="Bank Transfer"/>
    <x v="5"/>
    <s v="Uber ride"/>
  </r>
  <r>
    <s v="T2106"/>
    <s v="U010"/>
    <x v="142"/>
    <x v="141"/>
    <x v="0"/>
    <x v="0"/>
    <x v="521"/>
    <n v="8201"/>
    <x v="441"/>
    <s v="Nill"/>
    <s v="upi"/>
    <x v="9"/>
    <s v="Shopping"/>
  </r>
  <r>
    <s v="T0824"/>
    <s v="U007"/>
    <x v="472"/>
    <x v="453"/>
    <x v="0"/>
    <x v="4"/>
    <x v="54"/>
    <n v="3219"/>
    <x v="48"/>
    <s v="Nill"/>
    <s v="upi"/>
    <x v="4"/>
    <s v="Monthly rent payment"/>
  </r>
  <r>
    <s v="T8434"/>
    <s v="U061"/>
    <x v="3"/>
    <x v="3"/>
    <x v="0"/>
    <x v="3"/>
    <x v="522"/>
    <n v="4327"/>
    <x v="442"/>
    <s v="Nill"/>
    <s v="Bank Transfer"/>
    <x v="8"/>
    <s v="Fixed deposit"/>
  </r>
  <r>
    <s v="T13434"/>
    <s v="U145"/>
    <x v="473"/>
    <x v="454"/>
    <x v="0"/>
    <x v="8"/>
    <x v="523"/>
    <n v="2954"/>
    <x v="443"/>
    <s v="Nill"/>
    <s v="card"/>
    <x v="8"/>
    <s v="misc"/>
  </r>
  <r>
    <s v="T9341"/>
    <s v="U059"/>
    <x v="474"/>
    <x v="455"/>
    <x v="0"/>
    <x v="9"/>
    <x v="524"/>
    <n v="8122"/>
    <x v="444"/>
    <s v="Nill"/>
    <s v="Bank Transfer"/>
    <x v="3"/>
    <s v="unknown"/>
  </r>
  <r>
    <s v="T5459"/>
    <s v="U067"/>
    <x v="475"/>
    <x v="456"/>
    <x v="0"/>
    <x v="9"/>
    <x v="525"/>
    <n v="1008"/>
    <x v="445"/>
    <s v="Nill"/>
    <s v="upi"/>
    <x v="9"/>
    <s v="Medicine"/>
  </r>
  <r>
    <s v="T2041"/>
    <s v="U009"/>
    <x v="476"/>
    <x v="457"/>
    <x v="0"/>
    <x v="11"/>
    <x v="526"/>
    <n v="8382"/>
    <x v="446"/>
    <s v="Nill"/>
    <s v="upi"/>
    <x v="4"/>
    <s v="Internet bill"/>
  </r>
  <r>
    <s v="T3551"/>
    <s v="U025"/>
    <x v="477"/>
    <x v="382"/>
    <x v="0"/>
    <x v="8"/>
    <x v="527"/>
    <n v="1372"/>
    <x v="447"/>
    <s v="Nill"/>
    <s v="card"/>
    <x v="10"/>
    <s v="Train ticket"/>
  </r>
  <r>
    <s v="T10339"/>
    <s v="U081"/>
    <x v="478"/>
    <x v="458"/>
    <x v="1"/>
    <x v="2"/>
    <x v="528"/>
    <n v="46281"/>
    <x v="2"/>
    <n v="46281"/>
    <s v="upi"/>
    <x v="1"/>
    <s v="EMI payment"/>
  </r>
  <r>
    <s v="T8081"/>
    <s v="U100"/>
    <x v="479"/>
    <x v="459"/>
    <x v="0"/>
    <x v="6"/>
    <x v="529"/>
    <n v="6566"/>
    <x v="448"/>
    <s v="Nill"/>
    <s v="Bank Transfer"/>
    <x v="10"/>
    <s v="unknown"/>
  </r>
  <r>
    <s v="T5647"/>
    <s v="U082"/>
    <x v="248"/>
    <x v="245"/>
    <x v="0"/>
    <x v="9"/>
    <x v="530"/>
    <n v="984"/>
    <x v="449"/>
    <s v="Nill"/>
    <s v="card"/>
    <x v="2"/>
    <s v="Online course"/>
  </r>
  <r>
    <s v="T4580"/>
    <s v="U149"/>
    <x v="480"/>
    <x v="460"/>
    <x v="0"/>
    <x v="8"/>
    <x v="531"/>
    <n v="1259"/>
    <x v="450"/>
    <s v="Nill"/>
    <s v="card"/>
    <x v="8"/>
    <s v="Monthly rent payment"/>
  </r>
  <r>
    <s v="T2200"/>
    <s v="U089"/>
    <x v="3"/>
    <x v="3"/>
    <x v="0"/>
    <x v="3"/>
    <x v="532"/>
    <n v="2072"/>
    <x v="451"/>
    <s v="Nill"/>
    <s v="Cash"/>
    <x v="5"/>
    <s v="Movie tickets"/>
  </r>
  <r>
    <s v="T8724"/>
    <s v="U074"/>
    <x v="481"/>
    <x v="461"/>
    <x v="1"/>
    <x v="13"/>
    <x v="533"/>
    <n v="46784"/>
    <x v="2"/>
    <n v="46784"/>
    <s v="Cash"/>
    <x v="3"/>
    <s v="Shopping"/>
  </r>
  <r>
    <s v="T3529"/>
    <s v="U017"/>
    <x v="482"/>
    <x v="391"/>
    <x v="0"/>
    <x v="4"/>
    <x v="534"/>
    <n v="7393"/>
    <x v="452"/>
    <s v="Nill"/>
    <s v="Cash"/>
    <x v="2"/>
    <s v="Online course"/>
  </r>
  <r>
    <s v="T0924"/>
    <s v="U133"/>
    <x v="483"/>
    <x v="462"/>
    <x v="1"/>
    <x v="5"/>
    <x v="535"/>
    <n v="56971"/>
    <x v="2"/>
    <n v="56971"/>
    <s v="Cash"/>
    <x v="8"/>
    <s v="Coffee"/>
  </r>
  <r>
    <s v="T13214"/>
    <s v="U004"/>
    <x v="278"/>
    <x v="272"/>
    <x v="0"/>
    <x v="0"/>
    <x v="536"/>
    <n v="9349"/>
    <x v="453"/>
    <s v="Nill"/>
    <s v="Bank Transfer"/>
    <x v="3"/>
    <s v="Coffee"/>
  </r>
  <r>
    <s v="T6638"/>
    <s v="U084"/>
    <x v="167"/>
    <x v="165"/>
    <x v="0"/>
    <x v="8"/>
    <x v="537"/>
    <n v="1868"/>
    <x v="454"/>
    <s v="Nill"/>
    <s v="Cash"/>
    <x v="2"/>
    <s v="Grocery shopping"/>
  </r>
  <r>
    <s v="T9811"/>
    <s v="U048"/>
    <x v="484"/>
    <x v="463"/>
    <x v="0"/>
    <x v="1"/>
    <x v="538"/>
    <n v="2774"/>
    <x v="455"/>
    <s v="Nill"/>
    <s v="Bank Transfer"/>
    <x v="8"/>
    <s v="Internet bill"/>
  </r>
  <r>
    <s v="T1789"/>
    <s v="U038"/>
    <x v="423"/>
    <x v="407"/>
    <x v="1"/>
    <x v="5"/>
    <x v="539"/>
    <n v="30722"/>
    <x v="2"/>
    <n v="30722"/>
    <s v="card"/>
    <x v="9"/>
    <s v="unknown"/>
  </r>
  <r>
    <s v="T1978"/>
    <s v="U035"/>
    <x v="352"/>
    <x v="341"/>
    <x v="0"/>
    <x v="8"/>
    <x v="540"/>
    <n v="2481"/>
    <x v="456"/>
    <s v="Nill"/>
    <s v="Bank Transfer"/>
    <x v="9"/>
    <s v="Not found"/>
  </r>
  <r>
    <s v="T1222"/>
    <s v="U121"/>
    <x v="410"/>
    <x v="395"/>
    <x v="0"/>
    <x v="6"/>
    <x v="541"/>
    <n v="8855"/>
    <x v="457"/>
    <s v="Nill"/>
    <s v="upi"/>
    <x v="6"/>
    <s v="Not found"/>
  </r>
  <r>
    <s v="T8043"/>
    <s v="U007"/>
    <x v="456"/>
    <x v="437"/>
    <x v="0"/>
    <x v="0"/>
    <x v="542"/>
    <n v="3954"/>
    <x v="458"/>
    <s v="Nill"/>
    <s v="Bank Transfer"/>
    <x v="3"/>
    <s v="Not found"/>
  </r>
  <r>
    <s v="T11433"/>
    <s v="U004"/>
    <x v="74"/>
    <x v="74"/>
    <x v="0"/>
    <x v="3"/>
    <x v="543"/>
    <n v="4941"/>
    <x v="459"/>
    <s v="Nill"/>
    <s v="Bank Transfer"/>
    <x v="10"/>
    <s v="Medicine"/>
  </r>
  <r>
    <s v="T11885"/>
    <s v="U128"/>
    <x v="54"/>
    <x v="54"/>
    <x v="0"/>
    <x v="3"/>
    <x v="544"/>
    <n v="2043"/>
    <x v="460"/>
    <s v="Nill"/>
    <s v="Cash"/>
    <x v="2"/>
    <s v="Gym membership"/>
  </r>
  <r>
    <s v="T4257"/>
    <s v="U104"/>
    <x v="241"/>
    <x v="238"/>
    <x v="0"/>
    <x v="1"/>
    <x v="500"/>
    <n v="6574"/>
    <x v="422"/>
    <s v="Nill"/>
    <s v="Cash"/>
    <x v="4"/>
    <s v="Coffee"/>
  </r>
  <r>
    <s v="T13042"/>
    <s v="U008"/>
    <x v="485"/>
    <x v="464"/>
    <x v="0"/>
    <x v="3"/>
    <x v="545"/>
    <n v="2392"/>
    <x v="461"/>
    <s v="Nill"/>
    <s v="Bank Transfer"/>
    <x v="9"/>
    <s v="Gym membership"/>
  </r>
  <r>
    <s v="T1288"/>
    <s v="U071"/>
    <x v="486"/>
    <x v="465"/>
    <x v="0"/>
    <x v="9"/>
    <x v="546"/>
    <n v="6626"/>
    <x v="462"/>
    <s v="Nill"/>
    <s v="Bank Transfer"/>
    <x v="4"/>
    <s v="Monthly rent payment"/>
  </r>
  <r>
    <s v="T12635"/>
    <s v="U026"/>
    <x v="487"/>
    <x v="466"/>
    <x v="0"/>
    <x v="3"/>
    <x v="547"/>
    <n v="3054"/>
    <x v="463"/>
    <s v="Nill"/>
    <s v="Cash"/>
    <x v="8"/>
    <s v="test"/>
  </r>
  <r>
    <s v="T3008"/>
    <s v="U055"/>
    <x v="488"/>
    <x v="467"/>
    <x v="1"/>
    <x v="2"/>
    <x v="548"/>
    <n v="37631"/>
    <x v="2"/>
    <n v="37631"/>
    <s v="card"/>
    <x v="10"/>
    <s v="Fixed deposit"/>
  </r>
  <r>
    <s v="T6709"/>
    <s v="U067"/>
    <x v="404"/>
    <x v="390"/>
    <x v="0"/>
    <x v="1"/>
    <x v="549"/>
    <n v="38973"/>
    <x v="464"/>
    <s v="Nill"/>
    <s v="upi"/>
    <x v="6"/>
    <s v="Fixed deposit"/>
  </r>
  <r>
    <s v="T4064"/>
    <s v="U127"/>
    <x v="149"/>
    <x v="147"/>
    <x v="0"/>
    <x v="3"/>
    <x v="550"/>
    <n v="3980"/>
    <x v="465"/>
    <s v="Nill"/>
    <s v="upi"/>
    <x v="8"/>
    <s v="Petrol"/>
  </r>
  <r>
    <s v="T9245"/>
    <s v="U041"/>
    <x v="489"/>
    <x v="441"/>
    <x v="0"/>
    <x v="0"/>
    <x v="551"/>
    <n v="8729"/>
    <x v="466"/>
    <s v="Nill"/>
    <s v="upi"/>
    <x v="4"/>
    <s v="Train ticket"/>
  </r>
  <r>
    <s v="T6899"/>
    <s v="U106"/>
    <x v="490"/>
    <x v="468"/>
    <x v="0"/>
    <x v="4"/>
    <x v="552"/>
    <n v="7773"/>
    <x v="467"/>
    <s v="Nill"/>
    <s v="Cash"/>
    <x v="4"/>
    <s v="Petrol"/>
  </r>
  <r>
    <s v="T0874"/>
    <s v="U136"/>
    <x v="491"/>
    <x v="469"/>
    <x v="0"/>
    <x v="9"/>
    <x v="553"/>
    <n v="210"/>
    <x v="468"/>
    <s v="Nill"/>
    <s v="upi"/>
    <x v="2"/>
    <s v="unknown"/>
  </r>
  <r>
    <s v="T4836"/>
    <s v="U123"/>
    <x v="452"/>
    <x v="434"/>
    <x v="0"/>
    <x v="3"/>
    <x v="554"/>
    <n v="2611"/>
    <x v="469"/>
    <s v="Nill"/>
    <s v="Cash"/>
    <x v="8"/>
    <s v="Gym membership"/>
  </r>
  <r>
    <s v="T12202"/>
    <s v="U037"/>
    <x v="492"/>
    <x v="470"/>
    <x v="0"/>
    <x v="1"/>
    <x v="555"/>
    <n v="34418"/>
    <x v="470"/>
    <s v="Nill"/>
    <s v="upi"/>
    <x v="7"/>
    <s v="Books"/>
  </r>
  <r>
    <s v="T4056"/>
    <s v="U143"/>
    <x v="493"/>
    <x v="122"/>
    <x v="0"/>
    <x v="15"/>
    <x v="556"/>
    <n v="4883"/>
    <x v="471"/>
    <s v="Nill"/>
    <s v="card"/>
    <x v="7"/>
    <s v="Shopping"/>
  </r>
  <r>
    <s v="T0449"/>
    <s v="U128"/>
    <x v="494"/>
    <x v="471"/>
    <x v="0"/>
    <x v="4"/>
    <x v="557"/>
    <n v="1652"/>
    <x v="472"/>
    <s v="Nill"/>
    <s v="card"/>
    <x v="1"/>
    <s v="unknown"/>
  </r>
  <r>
    <s v="T13189"/>
    <s v="U021"/>
    <x v="495"/>
    <x v="142"/>
    <x v="0"/>
    <x v="11"/>
    <x v="558"/>
    <n v="8006"/>
    <x v="473"/>
    <s v="Nill"/>
    <s v="Cash"/>
    <x v="3"/>
    <s v="Not found"/>
  </r>
  <r>
    <s v="T4959"/>
    <s v="U150"/>
    <x v="216"/>
    <x v="213"/>
    <x v="0"/>
    <x v="1"/>
    <x v="559"/>
    <n v="6829"/>
    <x v="474"/>
    <s v="Nill"/>
    <s v="Cash"/>
    <x v="9"/>
    <s v="misc"/>
  </r>
  <r>
    <s v="T8420"/>
    <s v="U136"/>
    <x v="115"/>
    <x v="115"/>
    <x v="0"/>
    <x v="6"/>
    <x v="560"/>
    <n v="4713"/>
    <x v="475"/>
    <s v="Nill"/>
    <s v="Cash"/>
    <x v="2"/>
    <s v="Doctor consultation"/>
  </r>
  <r>
    <s v="T10250"/>
    <s v="U057"/>
    <x v="251"/>
    <x v="248"/>
    <x v="1"/>
    <x v="5"/>
    <x v="561"/>
    <n v="14297"/>
    <x v="2"/>
    <n v="14297"/>
    <s v="Bank Transfer"/>
    <x v="10"/>
    <s v="Electricity bill"/>
  </r>
  <r>
    <s v="T4214"/>
    <s v="U036"/>
    <x v="496"/>
    <x v="472"/>
    <x v="0"/>
    <x v="3"/>
    <x v="562"/>
    <n v="2087"/>
    <x v="476"/>
    <s v="Nill"/>
    <s v="card"/>
    <x v="2"/>
    <s v="unknown"/>
  </r>
  <r>
    <s v="T12332"/>
    <s v="U054"/>
    <x v="497"/>
    <x v="473"/>
    <x v="1"/>
    <x v="7"/>
    <x v="563"/>
    <n v="11168"/>
    <x v="2"/>
    <n v="11168"/>
    <s v="Bank Transfer"/>
    <x v="10"/>
    <s v="Shopping"/>
  </r>
  <r>
    <s v="T0949"/>
    <s v="U144"/>
    <x v="498"/>
    <x v="474"/>
    <x v="0"/>
    <x v="3"/>
    <x v="564"/>
    <n v="5997"/>
    <x v="477"/>
    <s v="Nill"/>
    <s v="card"/>
    <x v="2"/>
    <s v="unknown"/>
  </r>
  <r>
    <s v="T7649"/>
    <s v="U029"/>
    <x v="499"/>
    <x v="475"/>
    <x v="0"/>
    <x v="4"/>
    <x v="10"/>
    <n v="15120.822802197803"/>
    <x v="8"/>
    <s v="Nill"/>
    <s v="card"/>
    <x v="7"/>
    <s v="Lunch"/>
  </r>
  <r>
    <s v="T2428"/>
    <s v="U029"/>
    <x v="500"/>
    <x v="476"/>
    <x v="0"/>
    <x v="4"/>
    <x v="565"/>
    <n v="8195"/>
    <x v="478"/>
    <s v="Nill"/>
    <s v="Cash"/>
    <x v="1"/>
    <s v="misc"/>
  </r>
  <r>
    <s v="T5449"/>
    <s v="U035"/>
    <x v="501"/>
    <x v="477"/>
    <x v="0"/>
    <x v="3"/>
    <x v="566"/>
    <n v="4677"/>
    <x v="479"/>
    <s v="Nill"/>
    <s v="card"/>
    <x v="9"/>
    <s v="EMI payment"/>
  </r>
  <r>
    <s v="T0494"/>
    <s v="U034"/>
    <x v="308"/>
    <x v="299"/>
    <x v="1"/>
    <x v="13"/>
    <x v="567"/>
    <n v="59853"/>
    <x v="2"/>
    <n v="59853"/>
    <s v="card"/>
    <x v="0"/>
    <s v="Electricity bill"/>
  </r>
  <r>
    <s v="T11981"/>
    <s v="U128"/>
    <x v="502"/>
    <x v="417"/>
    <x v="0"/>
    <x v="4"/>
    <x v="568"/>
    <n v="464"/>
    <x v="480"/>
    <s v="Nill"/>
    <s v="upi"/>
    <x v="7"/>
    <s v="unknown"/>
  </r>
  <r>
    <s v="T11887"/>
    <s v="U009"/>
    <x v="503"/>
    <x v="49"/>
    <x v="0"/>
    <x v="1"/>
    <x v="569"/>
    <n v="48330"/>
    <x v="481"/>
    <s v="Nill"/>
    <s v="upi"/>
    <x v="4"/>
    <s v="Not found"/>
  </r>
  <r>
    <s v="T10700"/>
    <s v="U126"/>
    <x v="504"/>
    <x v="478"/>
    <x v="0"/>
    <x v="1"/>
    <x v="10"/>
    <n v="15120.822802197803"/>
    <x v="8"/>
    <s v="Nill"/>
    <s v="card"/>
    <x v="4"/>
    <s v="Online course"/>
  </r>
  <r>
    <s v="T5579"/>
    <s v="U030"/>
    <x v="505"/>
    <x v="479"/>
    <x v="0"/>
    <x v="9"/>
    <x v="570"/>
    <n v="8757"/>
    <x v="482"/>
    <s v="Nill"/>
    <s v="Bank Transfer"/>
    <x v="0"/>
    <s v="Not found"/>
  </r>
  <r>
    <s v="T11783"/>
    <s v="U121"/>
    <x v="506"/>
    <x v="480"/>
    <x v="0"/>
    <x v="8"/>
    <x v="571"/>
    <n v="5855"/>
    <x v="483"/>
    <s v="Nill"/>
    <s v="Cash"/>
    <x v="5"/>
    <s v="Doctor consultation"/>
  </r>
  <r>
    <s v="T12587"/>
    <s v="U133"/>
    <x v="507"/>
    <x v="481"/>
    <x v="0"/>
    <x v="11"/>
    <x v="572"/>
    <n v="3444"/>
    <x v="484"/>
    <s v="Nill"/>
    <s v="card"/>
    <x v="0"/>
    <s v="Monthly rent payment"/>
  </r>
  <r>
    <s v="T9551"/>
    <s v="U010"/>
    <x v="3"/>
    <x v="3"/>
    <x v="0"/>
    <x v="4"/>
    <x v="573"/>
    <n v="7010"/>
    <x v="485"/>
    <s v="Nill"/>
    <s v="Cash"/>
    <x v="7"/>
    <s v="test"/>
  </r>
  <r>
    <s v="T3025"/>
    <s v="U146"/>
    <x v="180"/>
    <x v="178"/>
    <x v="0"/>
    <x v="1"/>
    <x v="574"/>
    <n v="14582"/>
    <x v="486"/>
    <s v="Nill"/>
    <s v="upi"/>
    <x v="6"/>
    <s v="Internet bill"/>
  </r>
  <r>
    <s v="T7626"/>
    <s v="U147"/>
    <x v="3"/>
    <x v="3"/>
    <x v="1"/>
    <x v="13"/>
    <x v="575"/>
    <n v="14412"/>
    <x v="2"/>
    <n v="14412"/>
    <s v="Cash"/>
    <x v="1"/>
    <s v="Lunch"/>
  </r>
  <r>
    <s v="T12272"/>
    <s v="U136"/>
    <x v="503"/>
    <x v="49"/>
    <x v="1"/>
    <x v="5"/>
    <x v="576"/>
    <n v="18733"/>
    <x v="2"/>
    <n v="18733"/>
    <s v="card"/>
    <x v="0"/>
    <s v="unknown"/>
  </r>
  <r>
    <s v="T5026"/>
    <s v="U009"/>
    <x v="508"/>
    <x v="482"/>
    <x v="0"/>
    <x v="3"/>
    <x v="577"/>
    <n v="3702"/>
    <x v="487"/>
    <s v="Nill"/>
    <s v="upi"/>
    <x v="10"/>
    <s v="unknown"/>
  </r>
  <r>
    <s v="T13932"/>
    <s v="U147"/>
    <x v="277"/>
    <x v="271"/>
    <x v="0"/>
    <x v="0"/>
    <x v="578"/>
    <n v="6062"/>
    <x v="488"/>
    <s v="Nill"/>
    <s v="Bank Transfer"/>
    <x v="4"/>
    <s v="unknown"/>
  </r>
  <r>
    <s v="T7669"/>
    <s v="U082"/>
    <x v="509"/>
    <x v="483"/>
    <x v="0"/>
    <x v="3"/>
    <x v="579"/>
    <n v="9155"/>
    <x v="489"/>
    <s v="Nill"/>
    <s v="Cash"/>
    <x v="10"/>
    <s v="EMI payment"/>
  </r>
  <r>
    <s v="T0924"/>
    <s v="U133"/>
    <x v="483"/>
    <x v="462"/>
    <x v="1"/>
    <x v="5"/>
    <x v="535"/>
    <n v="56971"/>
    <x v="2"/>
    <n v="56971"/>
    <s v="Cash"/>
    <x v="8"/>
    <s v="Coffee"/>
  </r>
  <r>
    <s v="T1165"/>
    <s v="U017"/>
    <x v="147"/>
    <x v="145"/>
    <x v="0"/>
    <x v="6"/>
    <x v="580"/>
    <n v="4949"/>
    <x v="490"/>
    <s v="Nill"/>
    <s v="Cash"/>
    <x v="9"/>
    <s v="unknown"/>
  </r>
  <r>
    <s v="T5963"/>
    <s v="U081"/>
    <x v="510"/>
    <x v="276"/>
    <x v="0"/>
    <x v="6"/>
    <x v="581"/>
    <n v="5066"/>
    <x v="491"/>
    <s v="Nill"/>
    <s v="Bank Transfer"/>
    <x v="4"/>
    <s v="unknown"/>
  </r>
  <r>
    <s v="T10275"/>
    <s v="U119"/>
    <x v="511"/>
    <x v="484"/>
    <x v="0"/>
    <x v="3"/>
    <x v="582"/>
    <n v="6432"/>
    <x v="492"/>
    <s v="Nill"/>
    <s v="card"/>
    <x v="7"/>
    <s v="N/A"/>
  </r>
  <r>
    <s v="T4226"/>
    <s v="U070"/>
    <x v="330"/>
    <x v="321"/>
    <x v="0"/>
    <x v="8"/>
    <x v="583"/>
    <n v="1945"/>
    <x v="493"/>
    <s v="Nill"/>
    <s v="Bank Transfer"/>
    <x v="10"/>
    <s v="N/A"/>
  </r>
  <r>
    <s v="T12985"/>
    <s v="U022"/>
    <x v="512"/>
    <x v="485"/>
    <x v="0"/>
    <x v="4"/>
    <x v="584"/>
    <n v="7288"/>
    <x v="494"/>
    <s v="Nill"/>
    <s v="card"/>
    <x v="6"/>
    <s v="Medicine"/>
  </r>
  <r>
    <s v="T3001"/>
    <s v="U099"/>
    <x v="513"/>
    <x v="486"/>
    <x v="0"/>
    <x v="0"/>
    <x v="585"/>
    <n v="4942"/>
    <x v="495"/>
    <s v="Nill"/>
    <s v="upi"/>
    <x v="2"/>
    <s v="Monthly rent payment"/>
  </r>
  <r>
    <s v="T7356"/>
    <s v="U059"/>
    <x v="514"/>
    <x v="487"/>
    <x v="0"/>
    <x v="3"/>
    <x v="586"/>
    <n v="1443"/>
    <x v="496"/>
    <s v="Nill"/>
    <s v="card"/>
    <x v="5"/>
    <s v="Shopping"/>
  </r>
  <r>
    <s v="T7058"/>
    <s v="U036"/>
    <x v="515"/>
    <x v="488"/>
    <x v="1"/>
    <x v="5"/>
    <x v="587"/>
    <n v="66905"/>
    <x v="2"/>
    <n v="66905"/>
    <s v="card"/>
    <x v="10"/>
    <s v="test"/>
  </r>
  <r>
    <s v="T3582"/>
    <s v="U058"/>
    <x v="516"/>
    <x v="489"/>
    <x v="0"/>
    <x v="3"/>
    <x v="588"/>
    <n v="1731"/>
    <x v="497"/>
    <s v="Nill"/>
    <s v="Bank Transfer"/>
    <x v="8"/>
    <s v="Not found"/>
  </r>
  <r>
    <s v="T12681"/>
    <s v="U061"/>
    <x v="517"/>
    <x v="490"/>
    <x v="0"/>
    <x v="4"/>
    <x v="589"/>
    <n v="4462"/>
    <x v="498"/>
    <s v="Nill"/>
    <s v="Bank Transfer"/>
    <x v="0"/>
    <s v="Medicine"/>
  </r>
  <r>
    <s v="T3707"/>
    <s v="U107"/>
    <x v="518"/>
    <x v="491"/>
    <x v="0"/>
    <x v="9"/>
    <x v="590"/>
    <n v="4343"/>
    <x v="499"/>
    <s v="Nill"/>
    <s v="card"/>
    <x v="2"/>
    <s v="Train ticket"/>
  </r>
  <r>
    <s v="T2950"/>
    <s v="U135"/>
    <x v="519"/>
    <x v="492"/>
    <x v="0"/>
    <x v="3"/>
    <x v="591"/>
    <n v="842"/>
    <x v="500"/>
    <s v="Nill"/>
    <s v="upi"/>
    <x v="2"/>
    <s v="Monthly rent payment"/>
  </r>
  <r>
    <s v="T3609"/>
    <s v="U095"/>
    <x v="520"/>
    <x v="493"/>
    <x v="0"/>
    <x v="3"/>
    <x v="592"/>
    <n v="1969"/>
    <x v="501"/>
    <s v="Nill"/>
    <s v="Cash"/>
    <x v="5"/>
    <s v="Gym membership"/>
  </r>
  <r>
    <s v="T10866"/>
    <s v="U095"/>
    <x v="157"/>
    <x v="155"/>
    <x v="0"/>
    <x v="3"/>
    <x v="593"/>
    <n v="2811"/>
    <x v="502"/>
    <s v="Nill"/>
    <s v="Cash"/>
    <x v="4"/>
    <s v="Online course"/>
  </r>
  <r>
    <s v="T5999"/>
    <s v="U045"/>
    <x v="521"/>
    <x v="494"/>
    <x v="0"/>
    <x v="1"/>
    <x v="594"/>
    <n v="1223"/>
    <x v="503"/>
    <s v="Nill"/>
    <s v="card"/>
    <x v="1"/>
    <s v="Gym membership"/>
  </r>
  <r>
    <s v="T3159"/>
    <s v="U119"/>
    <x v="522"/>
    <x v="495"/>
    <x v="0"/>
    <x v="1"/>
    <x v="595"/>
    <n v="9301"/>
    <x v="504"/>
    <s v="Nill"/>
    <s v="Cash"/>
    <x v="0"/>
    <s v="Coffee"/>
  </r>
  <r>
    <s v="T5007"/>
    <s v="U080"/>
    <x v="523"/>
    <x v="203"/>
    <x v="1"/>
    <x v="7"/>
    <x v="596"/>
    <n v="19382"/>
    <x v="2"/>
    <n v="19382"/>
    <s v="Bank Transfer"/>
    <x v="0"/>
    <s v="Doctor consultation"/>
  </r>
  <r>
    <s v="T0060"/>
    <s v="U038"/>
    <x v="57"/>
    <x v="57"/>
    <x v="0"/>
    <x v="3"/>
    <x v="597"/>
    <n v="2984"/>
    <x v="505"/>
    <s v="Nill"/>
    <s v="card"/>
    <x v="3"/>
    <s v="Restaurant dinner"/>
  </r>
  <r>
    <s v="T11837"/>
    <s v="U126"/>
    <x v="118"/>
    <x v="118"/>
    <x v="0"/>
    <x v="3"/>
    <x v="598"/>
    <n v="9399"/>
    <x v="506"/>
    <s v="Nill"/>
    <s v="card"/>
    <x v="9"/>
    <s v="ATM withdrawal"/>
  </r>
  <r>
    <s v="T1520"/>
    <s v="U024"/>
    <x v="524"/>
    <x v="496"/>
    <x v="0"/>
    <x v="1"/>
    <x v="599"/>
    <n v="-1000"/>
    <x v="507"/>
    <s v="Nill"/>
    <s v="card"/>
    <x v="6"/>
    <s v="Not found"/>
  </r>
  <r>
    <s v="T1448"/>
    <s v="U110"/>
    <x v="525"/>
    <x v="497"/>
    <x v="0"/>
    <x v="3"/>
    <x v="600"/>
    <n v="845"/>
    <x v="508"/>
    <s v="Nill"/>
    <s v="card"/>
    <x v="7"/>
    <s v="Gym membership"/>
  </r>
  <r>
    <s v="T8400"/>
    <s v="U082"/>
    <x v="526"/>
    <x v="498"/>
    <x v="0"/>
    <x v="6"/>
    <x v="601"/>
    <n v="8421"/>
    <x v="509"/>
    <s v="Nill"/>
    <s v="Bank Transfer"/>
    <x v="0"/>
    <s v="Uber ride"/>
  </r>
  <r>
    <s v="T5292"/>
    <s v="U034"/>
    <x v="527"/>
    <x v="499"/>
    <x v="0"/>
    <x v="7"/>
    <x v="602"/>
    <n v="7687"/>
    <x v="510"/>
    <s v="Nill"/>
    <s v="Cash"/>
    <x v="6"/>
    <s v="N/A"/>
  </r>
  <r>
    <s v="T0358"/>
    <s v="U097"/>
    <x v="528"/>
    <x v="500"/>
    <x v="0"/>
    <x v="1"/>
    <x v="603"/>
    <n v="8337"/>
    <x v="511"/>
    <s v="Nill"/>
    <s v="upi"/>
    <x v="7"/>
    <s v="unknown"/>
  </r>
  <r>
    <s v="T12179"/>
    <s v="U042"/>
    <x v="197"/>
    <x v="195"/>
    <x v="0"/>
    <x v="8"/>
    <x v="604"/>
    <n v="5205"/>
    <x v="512"/>
    <s v="Nill"/>
    <s v="Bank Transfer"/>
    <x v="8"/>
    <s v="Shopping"/>
  </r>
  <r>
    <s v="T2843"/>
    <s v="U097"/>
    <x v="529"/>
    <x v="501"/>
    <x v="0"/>
    <x v="6"/>
    <x v="605"/>
    <n v="4206"/>
    <x v="513"/>
    <s v="Nill"/>
    <s v="Bank Transfer"/>
    <x v="10"/>
    <s v="Not found"/>
  </r>
  <r>
    <s v="T0982"/>
    <s v="U005"/>
    <x v="3"/>
    <x v="3"/>
    <x v="0"/>
    <x v="3"/>
    <x v="606"/>
    <n v="5937"/>
    <x v="514"/>
    <s v="Nill"/>
    <s v="upi"/>
    <x v="9"/>
    <s v="Lunch"/>
  </r>
  <r>
    <s v="T9460"/>
    <s v="U014"/>
    <x v="94"/>
    <x v="94"/>
    <x v="0"/>
    <x v="3"/>
    <x v="607"/>
    <n v="1690"/>
    <x v="515"/>
    <s v="Nill"/>
    <s v="upi"/>
    <x v="4"/>
    <s v="unknown"/>
  </r>
  <r>
    <s v="T7743"/>
    <s v="U090"/>
    <x v="530"/>
    <x v="502"/>
    <x v="1"/>
    <x v="12"/>
    <x v="608"/>
    <n v="37280"/>
    <x v="2"/>
    <n v="37280"/>
    <s v="upi"/>
    <x v="5"/>
    <s v="Uber ride"/>
  </r>
  <r>
    <s v="T3030"/>
    <s v="U083"/>
    <x v="93"/>
    <x v="93"/>
    <x v="0"/>
    <x v="8"/>
    <x v="609"/>
    <n v="744"/>
    <x v="516"/>
    <s v="Nill"/>
    <s v="Bank Transfer"/>
    <x v="7"/>
    <s v="Not found"/>
  </r>
  <r>
    <s v="T1421"/>
    <s v="U127"/>
    <x v="531"/>
    <x v="503"/>
    <x v="0"/>
    <x v="3"/>
    <x v="610"/>
    <n v="773"/>
    <x v="517"/>
    <s v="Nill"/>
    <s v="Cash"/>
    <x v="9"/>
    <s v="Monthly rent payment"/>
  </r>
  <r>
    <s v="T11211"/>
    <s v="U068"/>
    <x v="532"/>
    <x v="504"/>
    <x v="0"/>
    <x v="0"/>
    <x v="611"/>
    <n v="4103"/>
    <x v="518"/>
    <s v="Nill"/>
    <s v="Bank Transfer"/>
    <x v="8"/>
    <s v="Movie tickets"/>
  </r>
  <r>
    <s v="T11014"/>
    <s v="U107"/>
    <x v="533"/>
    <x v="505"/>
    <x v="0"/>
    <x v="4"/>
    <x v="612"/>
    <n v="3389"/>
    <x v="519"/>
    <s v="Nill"/>
    <s v="unknown"/>
    <x v="0"/>
    <s v="Electricity bill"/>
  </r>
  <r>
    <s v="T1121"/>
    <s v="U096"/>
    <x v="534"/>
    <x v="240"/>
    <x v="0"/>
    <x v="11"/>
    <x v="613"/>
    <n v="847"/>
    <x v="520"/>
    <s v="Nill"/>
    <s v="card"/>
    <x v="3"/>
    <s v="ATM withdrawal"/>
  </r>
  <r>
    <s v="T11298"/>
    <s v="U086"/>
    <x v="535"/>
    <x v="506"/>
    <x v="0"/>
    <x v="1"/>
    <x v="614"/>
    <n v="49400"/>
    <x v="521"/>
    <s v="Nill"/>
    <s v="card"/>
    <x v="7"/>
    <s v="ATM withdrawal"/>
  </r>
  <r>
    <s v="T8808"/>
    <s v="U073"/>
    <x v="536"/>
    <x v="507"/>
    <x v="0"/>
    <x v="8"/>
    <x v="615"/>
    <n v="5271"/>
    <x v="522"/>
    <s v="Nill"/>
    <s v="card"/>
    <x v="1"/>
    <s v="Not found"/>
  </r>
  <r>
    <s v="T7009"/>
    <s v="U004"/>
    <x v="217"/>
    <x v="214"/>
    <x v="0"/>
    <x v="8"/>
    <x v="301"/>
    <n v="4005"/>
    <x v="257"/>
    <s v="Nill"/>
    <s v="Cash"/>
    <x v="9"/>
    <s v="Fixed deposit"/>
  </r>
  <r>
    <s v="T5062"/>
    <s v="U114"/>
    <x v="537"/>
    <x v="508"/>
    <x v="0"/>
    <x v="0"/>
    <x v="616"/>
    <n v="9352"/>
    <x v="523"/>
    <s v="Nill"/>
    <s v="Bank Transfer"/>
    <x v="7"/>
    <s v="Doctor consultation"/>
  </r>
  <r>
    <s v="T4736"/>
    <s v="U113"/>
    <x v="52"/>
    <x v="52"/>
    <x v="0"/>
    <x v="0"/>
    <x v="617"/>
    <n v="8679"/>
    <x v="524"/>
    <s v="Nill"/>
    <s v="Cash"/>
    <x v="10"/>
    <s v="unknown"/>
  </r>
  <r>
    <s v="T7426"/>
    <s v="U115"/>
    <x v="538"/>
    <x v="509"/>
    <x v="1"/>
    <x v="2"/>
    <x v="618"/>
    <n v="61209"/>
    <x v="2"/>
    <n v="61209"/>
    <s v="unknown"/>
    <x v="7"/>
    <s v="unknown"/>
  </r>
  <r>
    <s v="T1835"/>
    <s v="U041"/>
    <x v="539"/>
    <x v="510"/>
    <x v="1"/>
    <x v="5"/>
    <x v="619"/>
    <n v="12429"/>
    <x v="2"/>
    <n v="12429"/>
    <s v="card"/>
    <x v="3"/>
    <s v="Online course"/>
  </r>
  <r>
    <s v="T8282"/>
    <s v="U108"/>
    <x v="119"/>
    <x v="119"/>
    <x v="0"/>
    <x v="1"/>
    <x v="10"/>
    <n v="15120.822802197803"/>
    <x v="8"/>
    <s v="Nill"/>
    <s v="Cash"/>
    <x v="4"/>
    <s v="Doctor consultation"/>
  </r>
  <r>
    <s v="T1617"/>
    <s v="U010"/>
    <x v="460"/>
    <x v="441"/>
    <x v="0"/>
    <x v="4"/>
    <x v="620"/>
    <n v="2583"/>
    <x v="525"/>
    <s v="Nill"/>
    <s v="Bank Transfer"/>
    <x v="3"/>
    <s v="Doctor consultation"/>
  </r>
  <r>
    <s v="T13174"/>
    <s v="U064"/>
    <x v="540"/>
    <x v="511"/>
    <x v="0"/>
    <x v="4"/>
    <x v="559"/>
    <n v="6829"/>
    <x v="474"/>
    <s v="Nill"/>
    <s v="card"/>
    <x v="4"/>
    <s v="Coffee"/>
  </r>
  <r>
    <s v="T11208"/>
    <s v="U006"/>
    <x v="541"/>
    <x v="512"/>
    <x v="0"/>
    <x v="8"/>
    <x v="621"/>
    <n v="9647"/>
    <x v="526"/>
    <s v="Nill"/>
    <s v="upi"/>
    <x v="8"/>
    <s v="Gym membership"/>
  </r>
  <r>
    <s v="T1324"/>
    <s v="U047"/>
    <x v="542"/>
    <x v="513"/>
    <x v="0"/>
    <x v="3"/>
    <x v="599"/>
    <n v="-1000"/>
    <x v="507"/>
    <s v="Nill"/>
    <s v="Cash"/>
    <x v="4"/>
    <s v="Restaurant dinner"/>
  </r>
  <r>
    <s v="T13156"/>
    <s v="U047"/>
    <x v="543"/>
    <x v="514"/>
    <x v="0"/>
    <x v="8"/>
    <x v="622"/>
    <n v="7482"/>
    <x v="527"/>
    <s v="Nill"/>
    <s v="card"/>
    <x v="8"/>
    <s v="Internet bill"/>
  </r>
  <r>
    <s v="T10465"/>
    <s v="U085"/>
    <x v="544"/>
    <x v="515"/>
    <x v="0"/>
    <x v="6"/>
    <x v="623"/>
    <n v="9698"/>
    <x v="528"/>
    <s v="Nill"/>
    <s v="Cash"/>
    <x v="1"/>
    <s v="Doctor consultation"/>
  </r>
  <r>
    <s v="T0273"/>
    <s v="U137"/>
    <x v="232"/>
    <x v="229"/>
    <x v="0"/>
    <x v="11"/>
    <x v="624"/>
    <n v="8773"/>
    <x v="529"/>
    <s v="Nill"/>
    <s v="Cash"/>
    <x v="1"/>
    <s v="EMI payment"/>
  </r>
  <r>
    <s v="T7155"/>
    <s v="U076"/>
    <x v="545"/>
    <x v="516"/>
    <x v="0"/>
    <x v="3"/>
    <x v="625"/>
    <n v="2236"/>
    <x v="530"/>
    <s v="Nill"/>
    <s v="Cash"/>
    <x v="7"/>
    <s v="unknown"/>
  </r>
  <r>
    <s v="T1069"/>
    <s v="U103"/>
    <x v="546"/>
    <x v="517"/>
    <x v="0"/>
    <x v="6"/>
    <x v="626"/>
    <n v="4119"/>
    <x v="531"/>
    <s v="Nill"/>
    <s v="Cash"/>
    <x v="8"/>
    <s v="Online course"/>
  </r>
  <r>
    <s v="T2552"/>
    <s v="U019"/>
    <x v="547"/>
    <x v="351"/>
    <x v="1"/>
    <x v="7"/>
    <x v="627"/>
    <n v="50800"/>
    <x v="2"/>
    <n v="50800"/>
    <s v="upi"/>
    <x v="5"/>
    <s v="Monthly rent payment"/>
  </r>
  <r>
    <s v="T12833"/>
    <s v="U059"/>
    <x v="548"/>
    <x v="518"/>
    <x v="0"/>
    <x v="1"/>
    <x v="628"/>
    <n v="1790"/>
    <x v="532"/>
    <s v="Nill"/>
    <s v="Bank Transfer"/>
    <x v="10"/>
    <s v="Shopping"/>
  </r>
  <r>
    <s v="T9201"/>
    <s v="U019"/>
    <x v="549"/>
    <x v="519"/>
    <x v="0"/>
    <x v="3"/>
    <x v="629"/>
    <n v="788"/>
    <x v="533"/>
    <s v="Nill"/>
    <s v="Cash"/>
    <x v="8"/>
    <s v="Online course"/>
  </r>
  <r>
    <s v="T10730"/>
    <s v="U008"/>
    <x v="550"/>
    <x v="520"/>
    <x v="0"/>
    <x v="1"/>
    <x v="630"/>
    <n v="5717"/>
    <x v="534"/>
    <s v="Nill"/>
    <s v="Bank Transfer"/>
    <x v="5"/>
    <s v="Movie tickets"/>
  </r>
  <r>
    <s v="T3185"/>
    <s v="U132"/>
    <x v="551"/>
    <x v="404"/>
    <x v="0"/>
    <x v="8"/>
    <x v="631"/>
    <n v="2771"/>
    <x v="535"/>
    <s v="Nill"/>
    <s v="upi"/>
    <x v="4"/>
    <s v="unknown"/>
  </r>
  <r>
    <s v="T4506"/>
    <s v="U113"/>
    <x v="552"/>
    <x v="521"/>
    <x v="1"/>
    <x v="13"/>
    <x v="632"/>
    <n v="222939"/>
    <x v="2"/>
    <n v="222939"/>
    <s v="Bank Transfer"/>
    <x v="6"/>
    <s v="Gym membership"/>
  </r>
  <r>
    <s v="T6940"/>
    <s v="U092"/>
    <x v="553"/>
    <x v="522"/>
    <x v="0"/>
    <x v="8"/>
    <x v="633"/>
    <n v="3869"/>
    <x v="536"/>
    <s v="Nill"/>
    <s v="Cash"/>
    <x v="7"/>
    <s v="Coffee"/>
  </r>
  <r>
    <s v="T8627"/>
    <s v="U054"/>
    <x v="554"/>
    <x v="523"/>
    <x v="0"/>
    <x v="12"/>
    <x v="634"/>
    <n v="2837"/>
    <x v="537"/>
    <s v="Nill"/>
    <s v="Bank Transfer"/>
    <x v="8"/>
    <s v="unknown"/>
  </r>
  <r>
    <s v="T10707"/>
    <s v="U150"/>
    <x v="555"/>
    <x v="524"/>
    <x v="1"/>
    <x v="5"/>
    <x v="635"/>
    <n v="76239"/>
    <x v="2"/>
    <n v="76239"/>
    <s v="card"/>
    <x v="10"/>
    <s v="Internet bill"/>
  </r>
  <r>
    <s v="T11015"/>
    <s v="U138"/>
    <x v="119"/>
    <x v="119"/>
    <x v="0"/>
    <x v="3"/>
    <x v="636"/>
    <n v="5375"/>
    <x v="538"/>
    <s v="Nill"/>
    <s v="upi"/>
    <x v="2"/>
    <s v="Movie tickets"/>
  </r>
  <r>
    <s v="T6233"/>
    <s v="U026"/>
    <x v="145"/>
    <x v="143"/>
    <x v="0"/>
    <x v="8"/>
    <x v="637"/>
    <n v="4953"/>
    <x v="539"/>
    <s v="Nill"/>
    <s v="upi"/>
    <x v="10"/>
    <s v="ATM withdrawal"/>
  </r>
  <r>
    <s v="T11312"/>
    <s v="U018"/>
    <x v="556"/>
    <x v="525"/>
    <x v="0"/>
    <x v="6"/>
    <x v="638"/>
    <n v="4494"/>
    <x v="540"/>
    <s v="Nill"/>
    <s v="Bank Transfer"/>
    <x v="9"/>
    <s v="unknown"/>
  </r>
  <r>
    <s v="T5179"/>
    <s v="U050"/>
    <x v="557"/>
    <x v="526"/>
    <x v="0"/>
    <x v="3"/>
    <x v="639"/>
    <n v="619"/>
    <x v="541"/>
    <s v="Nill"/>
    <s v="card"/>
    <x v="2"/>
    <s v="Lunch"/>
  </r>
  <r>
    <s v="T8773"/>
    <s v="U004"/>
    <x v="40"/>
    <x v="40"/>
    <x v="0"/>
    <x v="8"/>
    <x v="640"/>
    <n v="5649"/>
    <x v="542"/>
    <s v="Nill"/>
    <s v="Bank Transfer"/>
    <x v="9"/>
    <s v="unknown"/>
  </r>
  <r>
    <s v="T12753"/>
    <s v="U059"/>
    <x v="558"/>
    <x v="527"/>
    <x v="0"/>
    <x v="8"/>
    <x v="600"/>
    <n v="845"/>
    <x v="508"/>
    <s v="Nill"/>
    <s v="upi"/>
    <x v="0"/>
    <s v="Restaurant dinner"/>
  </r>
  <r>
    <s v="T8713"/>
    <s v="U041"/>
    <x v="57"/>
    <x v="57"/>
    <x v="1"/>
    <x v="5"/>
    <x v="641"/>
    <n v="37665"/>
    <x v="2"/>
    <n v="37665"/>
    <s v="upi"/>
    <x v="2"/>
    <s v="Lunch"/>
  </r>
  <r>
    <s v="T1091"/>
    <s v="U033"/>
    <x v="490"/>
    <x v="468"/>
    <x v="0"/>
    <x v="9"/>
    <x v="642"/>
    <n v="740"/>
    <x v="543"/>
    <s v="Nill"/>
    <s v="Bank Transfer"/>
    <x v="2"/>
    <s v="Shopping"/>
  </r>
  <r>
    <s v="T11096"/>
    <s v="U064"/>
    <x v="559"/>
    <x v="528"/>
    <x v="1"/>
    <x v="10"/>
    <x v="643"/>
    <n v="77578"/>
    <x v="2"/>
    <n v="77578"/>
    <s v="Cash"/>
    <x v="2"/>
    <s v="unknown"/>
  </r>
  <r>
    <s v="T7666"/>
    <s v="U009"/>
    <x v="560"/>
    <x v="529"/>
    <x v="0"/>
    <x v="8"/>
    <x v="644"/>
    <n v="7815"/>
    <x v="544"/>
    <s v="Nill"/>
    <s v="upi"/>
    <x v="3"/>
    <s v="unknown"/>
  </r>
  <r>
    <s v="T3826"/>
    <s v="U111"/>
    <x v="561"/>
    <x v="530"/>
    <x v="0"/>
    <x v="3"/>
    <x v="645"/>
    <n v="2158"/>
    <x v="545"/>
    <s v="Nill"/>
    <s v="card"/>
    <x v="6"/>
    <s v="test"/>
  </r>
  <r>
    <s v="T6281"/>
    <s v="U027"/>
    <x v="562"/>
    <x v="531"/>
    <x v="0"/>
    <x v="3"/>
    <x v="646"/>
    <n v="3765"/>
    <x v="167"/>
    <s v="Nill"/>
    <s v="Bank Transfer"/>
    <x v="10"/>
    <s v="Internet bill"/>
  </r>
  <r>
    <s v="T2649"/>
    <s v="U023"/>
    <x v="563"/>
    <x v="532"/>
    <x v="0"/>
    <x v="1"/>
    <x v="647"/>
    <n v="4039"/>
    <x v="546"/>
    <s v="Nill"/>
    <s v="upi"/>
    <x v="5"/>
    <s v="EMI payment"/>
  </r>
  <r>
    <s v="T3645"/>
    <s v="U085"/>
    <x v="299"/>
    <x v="290"/>
    <x v="0"/>
    <x v="6"/>
    <x v="648"/>
    <n v="4218"/>
    <x v="547"/>
    <s v="Nill"/>
    <s v="card"/>
    <x v="2"/>
    <s v="Not found"/>
  </r>
  <r>
    <s v="T13724"/>
    <s v="U096"/>
    <x v="564"/>
    <x v="533"/>
    <x v="0"/>
    <x v="1"/>
    <x v="649"/>
    <n v="1009"/>
    <x v="548"/>
    <s v="Nill"/>
    <s v="upi"/>
    <x v="5"/>
    <s v="Not found"/>
  </r>
  <r>
    <s v="T4315"/>
    <s v="U049"/>
    <x v="281"/>
    <x v="61"/>
    <x v="0"/>
    <x v="3"/>
    <x v="650"/>
    <n v="2220"/>
    <x v="549"/>
    <s v="Nill"/>
    <s v="Bank Transfer"/>
    <x v="10"/>
    <s v="Train ticket"/>
  </r>
  <r>
    <s v="T4131"/>
    <s v="U032"/>
    <x v="565"/>
    <x v="534"/>
    <x v="0"/>
    <x v="3"/>
    <x v="592"/>
    <n v="1969"/>
    <x v="501"/>
    <s v="Nill"/>
    <s v="card"/>
    <x v="9"/>
    <s v="Movie tickets"/>
  </r>
  <r>
    <s v="T0599"/>
    <s v="U010"/>
    <x v="411"/>
    <x v="396"/>
    <x v="0"/>
    <x v="1"/>
    <x v="651"/>
    <n v="3050"/>
    <x v="550"/>
    <s v="Nill"/>
    <s v="Bank Transfer"/>
    <x v="8"/>
    <s v="N/A"/>
  </r>
  <r>
    <s v="T6679"/>
    <s v="U006"/>
    <x v="464"/>
    <x v="445"/>
    <x v="1"/>
    <x v="2"/>
    <x v="652"/>
    <n v="50581"/>
    <x v="2"/>
    <n v="50581"/>
    <s v="upi"/>
    <x v="3"/>
    <s v="Internet bill"/>
  </r>
  <r>
    <s v="T3446"/>
    <s v="U036"/>
    <x v="566"/>
    <x v="535"/>
    <x v="1"/>
    <x v="5"/>
    <x v="653"/>
    <n v="65464"/>
    <x v="2"/>
    <n v="65464"/>
    <s v="upi"/>
    <x v="5"/>
    <s v="Uber ride"/>
  </r>
  <r>
    <s v="T4680"/>
    <s v="U003"/>
    <x v="567"/>
    <x v="536"/>
    <x v="0"/>
    <x v="3"/>
    <x v="654"/>
    <n v="3207"/>
    <x v="551"/>
    <s v="Nill"/>
    <s v="Bank Transfer"/>
    <x v="6"/>
    <s v="Grocery shopping"/>
  </r>
  <r>
    <s v="T3972"/>
    <s v="U027"/>
    <x v="426"/>
    <x v="410"/>
    <x v="0"/>
    <x v="0"/>
    <x v="243"/>
    <n v="8479"/>
    <x v="205"/>
    <s v="Nill"/>
    <s v="upi"/>
    <x v="9"/>
    <s v="Uber ride"/>
  </r>
  <r>
    <s v="T11462"/>
    <s v="U147"/>
    <x v="568"/>
    <x v="537"/>
    <x v="0"/>
    <x v="3"/>
    <x v="655"/>
    <n v="861"/>
    <x v="552"/>
    <s v="Nill"/>
    <s v="upi"/>
    <x v="1"/>
    <s v="Shopping"/>
  </r>
  <r>
    <s v="T11490"/>
    <s v="U127"/>
    <x v="569"/>
    <x v="538"/>
    <x v="1"/>
    <x v="7"/>
    <x v="656"/>
    <n v="34452"/>
    <x v="2"/>
    <n v="34452"/>
    <s v="card"/>
    <x v="8"/>
    <s v="Internet bill"/>
  </r>
  <r>
    <s v="T2973"/>
    <s v="U052"/>
    <x v="570"/>
    <x v="539"/>
    <x v="0"/>
    <x v="1"/>
    <x v="657"/>
    <n v="9804"/>
    <x v="553"/>
    <s v="Nill"/>
    <s v="Cash"/>
    <x v="2"/>
    <s v="Medicine"/>
  </r>
  <r>
    <s v="T12274"/>
    <s v="U016"/>
    <x v="569"/>
    <x v="538"/>
    <x v="0"/>
    <x v="3"/>
    <x v="658"/>
    <n v="6666"/>
    <x v="554"/>
    <s v="Nill"/>
    <s v="card"/>
    <x v="9"/>
    <s v="misc"/>
  </r>
  <r>
    <s v="T3587"/>
    <s v="U089"/>
    <x v="571"/>
    <x v="540"/>
    <x v="0"/>
    <x v="6"/>
    <x v="659"/>
    <n v="8355"/>
    <x v="555"/>
    <s v="Nill"/>
    <s v="Bank Transfer"/>
    <x v="6"/>
    <s v="Not found"/>
  </r>
  <r>
    <s v="T9205"/>
    <s v="U111"/>
    <x v="572"/>
    <x v="405"/>
    <x v="0"/>
    <x v="8"/>
    <x v="660"/>
    <n v="9644"/>
    <x v="556"/>
    <s v="Nill"/>
    <s v="upi"/>
    <x v="1"/>
    <s v="Gym membership"/>
  </r>
  <r>
    <s v="T2439"/>
    <s v="U129"/>
    <x v="573"/>
    <x v="541"/>
    <x v="0"/>
    <x v="1"/>
    <x v="607"/>
    <n v="1690"/>
    <x v="515"/>
    <s v="Nill"/>
    <s v="card"/>
    <x v="8"/>
    <s v="Online course"/>
  </r>
  <r>
    <s v="T9679"/>
    <s v="U028"/>
    <x v="574"/>
    <x v="542"/>
    <x v="0"/>
    <x v="6"/>
    <x v="661"/>
    <n v="9727"/>
    <x v="557"/>
    <s v="Nill"/>
    <s v="upi"/>
    <x v="4"/>
    <s v="Restaurant dinner"/>
  </r>
  <r>
    <s v="T13096"/>
    <s v="U110"/>
    <x v="470"/>
    <x v="451"/>
    <x v="0"/>
    <x v="3"/>
    <x v="662"/>
    <n v="4753"/>
    <x v="558"/>
    <s v="Nill"/>
    <s v="Cash"/>
    <x v="6"/>
    <s v="Monthly rent payment"/>
  </r>
  <r>
    <s v="T11952"/>
    <s v="U052"/>
    <x v="119"/>
    <x v="119"/>
    <x v="0"/>
    <x v="3"/>
    <x v="663"/>
    <n v="5025"/>
    <x v="559"/>
    <s v="Nill"/>
    <s v="Bank Transfer"/>
    <x v="5"/>
    <s v="unknown"/>
  </r>
  <r>
    <s v="T1629"/>
    <s v="U060"/>
    <x v="575"/>
    <x v="543"/>
    <x v="0"/>
    <x v="3"/>
    <x v="664"/>
    <n v="2628"/>
    <x v="560"/>
    <s v="Nill"/>
    <s v="Bank Transfer"/>
    <x v="3"/>
    <s v="Grocery shopping"/>
  </r>
  <r>
    <s v="T11073"/>
    <s v="U129"/>
    <x v="576"/>
    <x v="544"/>
    <x v="0"/>
    <x v="8"/>
    <x v="665"/>
    <n v="1611"/>
    <x v="561"/>
    <s v="Nill"/>
    <s v="Cash"/>
    <x v="8"/>
    <s v="N/A"/>
  </r>
  <r>
    <s v="T0496"/>
    <s v="U065"/>
    <x v="577"/>
    <x v="545"/>
    <x v="0"/>
    <x v="0"/>
    <x v="666"/>
    <n v="6020"/>
    <x v="562"/>
    <s v="Nill"/>
    <s v="card"/>
    <x v="8"/>
    <s v="Online course"/>
  </r>
  <r>
    <s v="T3419"/>
    <s v="U081"/>
    <x v="439"/>
    <x v="421"/>
    <x v="0"/>
    <x v="6"/>
    <x v="667"/>
    <n v="3123"/>
    <x v="563"/>
    <s v="Nill"/>
    <s v="Bank Transfer"/>
    <x v="7"/>
    <s v="Monthly rent payment"/>
  </r>
  <r>
    <s v="T7640"/>
    <s v="U092"/>
    <x v="3"/>
    <x v="3"/>
    <x v="1"/>
    <x v="13"/>
    <x v="668"/>
    <n v="16944"/>
    <x v="2"/>
    <n v="16944"/>
    <s v="card"/>
    <x v="2"/>
    <s v="test"/>
  </r>
  <r>
    <s v="T12923"/>
    <s v="U119"/>
    <x v="578"/>
    <x v="546"/>
    <x v="0"/>
    <x v="1"/>
    <x v="669"/>
    <n v="25106"/>
    <x v="564"/>
    <s v="Nill"/>
    <s v="Bank Transfer"/>
    <x v="3"/>
    <s v="misc"/>
  </r>
  <r>
    <s v="T10148"/>
    <s v="U078"/>
    <x v="579"/>
    <x v="547"/>
    <x v="0"/>
    <x v="4"/>
    <x v="670"/>
    <n v="1317"/>
    <x v="565"/>
    <s v="Nill"/>
    <s v="upi"/>
    <x v="8"/>
    <s v="Medicine"/>
  </r>
  <r>
    <s v="T0881"/>
    <s v="U069"/>
    <x v="580"/>
    <x v="548"/>
    <x v="0"/>
    <x v="3"/>
    <x v="671"/>
    <n v="4235"/>
    <x v="566"/>
    <s v="Nill"/>
    <s v="Bank Transfer"/>
    <x v="6"/>
    <s v="test"/>
  </r>
  <r>
    <s v="T4819"/>
    <s v="U041"/>
    <x v="581"/>
    <x v="549"/>
    <x v="0"/>
    <x v="0"/>
    <x v="88"/>
    <n v="2966"/>
    <x v="76"/>
    <s v="Nill"/>
    <s v="Bank Transfer"/>
    <x v="3"/>
    <s v="Lunch"/>
  </r>
  <r>
    <s v="T11108"/>
    <s v="U114"/>
    <x v="582"/>
    <x v="550"/>
    <x v="0"/>
    <x v="0"/>
    <x v="672"/>
    <n v="2265"/>
    <x v="567"/>
    <s v="Nill"/>
    <s v="upi"/>
    <x v="6"/>
    <s v="Petrol"/>
  </r>
  <r>
    <s v="T6885"/>
    <s v="U100"/>
    <x v="575"/>
    <x v="543"/>
    <x v="0"/>
    <x v="6"/>
    <x v="673"/>
    <n v="1346"/>
    <x v="568"/>
    <s v="Nill"/>
    <s v="Bank Transfer"/>
    <x v="10"/>
    <s v="Petrol"/>
  </r>
  <r>
    <s v="T5946"/>
    <s v="U096"/>
    <x v="583"/>
    <x v="551"/>
    <x v="0"/>
    <x v="1"/>
    <x v="674"/>
    <n v="-500"/>
    <x v="569"/>
    <s v="Nill"/>
    <s v="Cash"/>
    <x v="7"/>
    <s v="Gym membership"/>
  </r>
  <r>
    <s v="T13677"/>
    <s v="U014"/>
    <x v="584"/>
    <x v="552"/>
    <x v="0"/>
    <x v="8"/>
    <x v="497"/>
    <n v="702"/>
    <x v="419"/>
    <s v="Nill"/>
    <s v="card"/>
    <x v="1"/>
    <s v="Petrol"/>
  </r>
  <r>
    <s v="T1763"/>
    <s v="U095"/>
    <x v="585"/>
    <x v="18"/>
    <x v="1"/>
    <x v="10"/>
    <x v="10"/>
    <n v="15120.822802197803"/>
    <x v="2"/>
    <n v="15120.822802197803"/>
    <s v="card"/>
    <x v="1"/>
    <s v="unknown"/>
  </r>
  <r>
    <s v="T5130"/>
    <s v="U110"/>
    <x v="586"/>
    <x v="553"/>
    <x v="0"/>
    <x v="4"/>
    <x v="675"/>
    <n v="1505"/>
    <x v="570"/>
    <s v="Nill"/>
    <s v="Bank Transfer"/>
    <x v="5"/>
    <s v="Uber ride"/>
  </r>
  <r>
    <s v="T9955"/>
    <s v="U032"/>
    <x v="587"/>
    <x v="60"/>
    <x v="0"/>
    <x v="1"/>
    <x v="676"/>
    <n v="4697"/>
    <x v="571"/>
    <s v="Nill"/>
    <s v="card"/>
    <x v="2"/>
    <s v="Movie tickets"/>
  </r>
  <r>
    <s v="T1203"/>
    <s v="U082"/>
    <x v="588"/>
    <x v="46"/>
    <x v="0"/>
    <x v="1"/>
    <x v="677"/>
    <n v="10239"/>
    <x v="572"/>
    <s v="Nill"/>
    <s v="Bank Transfer"/>
    <x v="5"/>
    <s v="test"/>
  </r>
  <r>
    <s v="T2284"/>
    <s v="U125"/>
    <x v="491"/>
    <x v="469"/>
    <x v="0"/>
    <x v="4"/>
    <x v="10"/>
    <n v="15120.822802197803"/>
    <x v="8"/>
    <s v="Nill"/>
    <s v="upi"/>
    <x v="5"/>
    <s v="Not found"/>
  </r>
  <r>
    <s v="T1030"/>
    <s v="U031"/>
    <x v="35"/>
    <x v="35"/>
    <x v="0"/>
    <x v="4"/>
    <x v="678"/>
    <n v="7245"/>
    <x v="573"/>
    <s v="Nill"/>
    <s v="Cash"/>
    <x v="10"/>
    <s v="ATM withdrawal"/>
  </r>
  <r>
    <s v="T0932"/>
    <s v="U081"/>
    <x v="372"/>
    <x v="359"/>
    <x v="0"/>
    <x v="8"/>
    <x v="679"/>
    <n v="4258"/>
    <x v="574"/>
    <s v="Nill"/>
    <s v="Bank Transfer"/>
    <x v="2"/>
    <s v="Books"/>
  </r>
  <r>
    <s v="T12819"/>
    <s v="U002"/>
    <x v="142"/>
    <x v="141"/>
    <x v="0"/>
    <x v="4"/>
    <x v="680"/>
    <n v="4253"/>
    <x v="575"/>
    <s v="Nill"/>
    <s v="card"/>
    <x v="1"/>
    <s v="Books"/>
  </r>
  <r>
    <s v="T1137"/>
    <s v="U026"/>
    <x v="589"/>
    <x v="554"/>
    <x v="0"/>
    <x v="3"/>
    <x v="658"/>
    <n v="6666"/>
    <x v="554"/>
    <s v="Nill"/>
    <s v="Bank Transfer"/>
    <x v="9"/>
    <s v="test"/>
  </r>
  <r>
    <s v="T4052"/>
    <s v="U066"/>
    <x v="535"/>
    <x v="506"/>
    <x v="0"/>
    <x v="8"/>
    <x v="681"/>
    <n v="4882"/>
    <x v="576"/>
    <s v="Nill"/>
    <s v="Cash"/>
    <x v="4"/>
    <s v="Not found"/>
  </r>
  <r>
    <s v="T6325"/>
    <s v="U076"/>
    <x v="590"/>
    <x v="555"/>
    <x v="0"/>
    <x v="3"/>
    <x v="682"/>
    <n v="4597"/>
    <x v="577"/>
    <s v="Nill"/>
    <s v="unknown"/>
    <x v="4"/>
    <s v="Restaurant dinner"/>
  </r>
  <r>
    <s v="T12879"/>
    <s v="U124"/>
    <x v="591"/>
    <x v="556"/>
    <x v="1"/>
    <x v="2"/>
    <x v="683"/>
    <n v="65471"/>
    <x v="2"/>
    <n v="65471"/>
    <s v="upi"/>
    <x v="3"/>
    <s v="Books"/>
  </r>
  <r>
    <s v="T9995"/>
    <s v="U025"/>
    <x v="24"/>
    <x v="24"/>
    <x v="1"/>
    <x v="13"/>
    <x v="684"/>
    <n v="28581"/>
    <x v="2"/>
    <n v="28581"/>
    <s v="Bank Transfer"/>
    <x v="3"/>
    <s v="Online course"/>
  </r>
  <r>
    <s v="T3904"/>
    <s v="U141"/>
    <x v="269"/>
    <x v="263"/>
    <x v="0"/>
    <x v="1"/>
    <x v="685"/>
    <n v="3737"/>
    <x v="578"/>
    <s v="Nill"/>
    <s v="unknown"/>
    <x v="9"/>
    <s v="ATM withdrawal"/>
  </r>
  <r>
    <s v="T2126"/>
    <s v="U087"/>
    <x v="592"/>
    <x v="557"/>
    <x v="0"/>
    <x v="0"/>
    <x v="686"/>
    <n v="8214"/>
    <x v="579"/>
    <s v="Nill"/>
    <s v="card"/>
    <x v="5"/>
    <s v="unknown"/>
  </r>
  <r>
    <s v="T2433"/>
    <s v="U090"/>
    <x v="593"/>
    <x v="558"/>
    <x v="0"/>
    <x v="6"/>
    <x v="687"/>
    <n v="7287"/>
    <x v="580"/>
    <s v="Nill"/>
    <s v="upi"/>
    <x v="2"/>
    <s v="EMI payment"/>
  </r>
  <r>
    <s v="T1875"/>
    <s v="U062"/>
    <x v="594"/>
    <x v="559"/>
    <x v="0"/>
    <x v="3"/>
    <x v="688"/>
    <n v="6868"/>
    <x v="581"/>
    <s v="Nill"/>
    <s v="Cash"/>
    <x v="8"/>
    <s v="Medicine"/>
  </r>
  <r>
    <s v="T9425"/>
    <s v="U046"/>
    <x v="595"/>
    <x v="560"/>
    <x v="0"/>
    <x v="3"/>
    <x v="599"/>
    <n v="-1000"/>
    <x v="507"/>
    <s v="Nill"/>
    <s v="Bank Transfer"/>
    <x v="2"/>
    <s v="Medicine"/>
  </r>
  <r>
    <s v="T2991"/>
    <s v="U087"/>
    <x v="596"/>
    <x v="561"/>
    <x v="0"/>
    <x v="8"/>
    <x v="689"/>
    <n v="7173"/>
    <x v="582"/>
    <s v="Nill"/>
    <s v="Bank Transfer"/>
    <x v="1"/>
    <s v="Shopping"/>
  </r>
  <r>
    <s v="T0651"/>
    <s v="U038"/>
    <x v="37"/>
    <x v="37"/>
    <x v="0"/>
    <x v="1"/>
    <x v="690"/>
    <n v="2693"/>
    <x v="583"/>
    <s v="Nill"/>
    <s v="upi"/>
    <x v="2"/>
    <s v="Shopping"/>
  </r>
  <r>
    <s v="T2464"/>
    <s v="U079"/>
    <x v="3"/>
    <x v="3"/>
    <x v="0"/>
    <x v="4"/>
    <x v="691"/>
    <n v="8468"/>
    <x v="584"/>
    <s v="Nill"/>
    <s v="Bank Transfer"/>
    <x v="7"/>
    <s v="unknown"/>
  </r>
  <r>
    <s v="T7770"/>
    <s v="U118"/>
    <x v="444"/>
    <x v="426"/>
    <x v="0"/>
    <x v="9"/>
    <x v="692"/>
    <n v="7900"/>
    <x v="585"/>
    <s v="Nill"/>
    <s v="card"/>
    <x v="0"/>
    <s v="Petrol"/>
  </r>
  <r>
    <s v="T4293"/>
    <s v="U056"/>
    <x v="597"/>
    <x v="530"/>
    <x v="1"/>
    <x v="13"/>
    <x v="693"/>
    <n v="75757"/>
    <x v="2"/>
    <n v="75757"/>
    <s v="Cash"/>
    <x v="7"/>
    <s v="unknown"/>
  </r>
  <r>
    <s v="T0163"/>
    <s v="U098"/>
    <x v="598"/>
    <x v="73"/>
    <x v="1"/>
    <x v="7"/>
    <x v="694"/>
    <n v="749253"/>
    <x v="2"/>
    <n v="749253"/>
    <s v="Bank Transfer"/>
    <x v="0"/>
    <s v="Electricity bill"/>
  </r>
  <r>
    <s v="T11855"/>
    <s v="U094"/>
    <x v="599"/>
    <x v="562"/>
    <x v="0"/>
    <x v="0"/>
    <x v="695"/>
    <n v="5531"/>
    <x v="586"/>
    <s v="Nill"/>
    <s v="Cash"/>
    <x v="7"/>
    <s v="Not found"/>
  </r>
  <r>
    <s v="T1122"/>
    <s v="U095"/>
    <x v="600"/>
    <x v="552"/>
    <x v="0"/>
    <x v="1"/>
    <x v="696"/>
    <n v="6790"/>
    <x v="587"/>
    <s v="Nill"/>
    <s v="Cash"/>
    <x v="5"/>
    <s v="unknown"/>
  </r>
  <r>
    <s v="T4911"/>
    <s v="U041"/>
    <x v="401"/>
    <x v="388"/>
    <x v="0"/>
    <x v="3"/>
    <x v="697"/>
    <n v="4827"/>
    <x v="588"/>
    <s v="Nill"/>
    <s v="card"/>
    <x v="0"/>
    <s v="unknown"/>
  </r>
  <r>
    <s v="T2532"/>
    <s v="U002"/>
    <x v="601"/>
    <x v="563"/>
    <x v="0"/>
    <x v="8"/>
    <x v="698"/>
    <n v="5094"/>
    <x v="589"/>
    <s v="Nill"/>
    <s v="Cash"/>
    <x v="2"/>
    <s v="Grocery shopping"/>
  </r>
  <r>
    <s v="T4480"/>
    <s v="U079"/>
    <x v="602"/>
    <x v="564"/>
    <x v="0"/>
    <x v="1"/>
    <x v="699"/>
    <n v="36568"/>
    <x v="590"/>
    <s v="Nill"/>
    <s v="Cash"/>
    <x v="8"/>
    <s v="misc"/>
  </r>
  <r>
    <s v="T12486"/>
    <s v="U068"/>
    <x v="603"/>
    <x v="565"/>
    <x v="0"/>
    <x v="8"/>
    <x v="700"/>
    <n v="5316"/>
    <x v="591"/>
    <s v="Nill"/>
    <s v="upi"/>
    <x v="6"/>
    <s v="Restaurant dinner"/>
  </r>
  <r>
    <s v="T0896"/>
    <s v="U029"/>
    <x v="604"/>
    <x v="566"/>
    <x v="0"/>
    <x v="3"/>
    <x v="701"/>
    <n v="3429"/>
    <x v="232"/>
    <s v="Nill"/>
    <s v="Cash"/>
    <x v="9"/>
    <s v="Uber ride"/>
  </r>
  <r>
    <s v="T5973"/>
    <s v="U072"/>
    <x v="605"/>
    <x v="567"/>
    <x v="0"/>
    <x v="1"/>
    <x v="702"/>
    <n v="41358"/>
    <x v="592"/>
    <s v="Nill"/>
    <s v="card"/>
    <x v="9"/>
    <s v="EMI payment"/>
  </r>
  <r>
    <s v="T6904"/>
    <s v="U007"/>
    <x v="606"/>
    <x v="568"/>
    <x v="0"/>
    <x v="4"/>
    <x v="703"/>
    <n v="6805"/>
    <x v="593"/>
    <s v="Nill"/>
    <s v="card"/>
    <x v="2"/>
    <s v="Grocery shopping"/>
  </r>
  <r>
    <s v="T8131"/>
    <s v="U032"/>
    <x v="607"/>
    <x v="569"/>
    <x v="0"/>
    <x v="1"/>
    <x v="704"/>
    <n v="2358"/>
    <x v="594"/>
    <s v="Nill"/>
    <s v="Cash"/>
    <x v="3"/>
    <s v="unknow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7BCD3D-C73C-4029-8B78-FA40B1BCF3E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S23" firstHeaderRow="1" firstDataRow="2" firstDataCol="1"/>
  <pivotFields count="13">
    <pivotField showAll="0"/>
    <pivotField showAll="0"/>
    <pivotField showAll="0"/>
    <pivotField showAll="0">
      <items count="571">
        <item x="3"/>
        <item x="188"/>
        <item x="415"/>
        <item x="149"/>
        <item x="395"/>
        <item x="283"/>
        <item x="281"/>
        <item x="268"/>
        <item x="328"/>
        <item x="306"/>
        <item x="521"/>
        <item x="119"/>
        <item x="20"/>
        <item x="369"/>
        <item x="228"/>
        <item x="435"/>
        <item x="491"/>
        <item x="199"/>
        <item x="37"/>
        <item x="405"/>
        <item x="379"/>
        <item x="17"/>
        <item x="249"/>
        <item x="453"/>
        <item x="158"/>
        <item x="196"/>
        <item x="246"/>
        <item x="182"/>
        <item x="142"/>
        <item x="377"/>
        <item x="163"/>
        <item x="422"/>
        <item x="526"/>
        <item x="569"/>
        <item x="250"/>
        <item x="314"/>
        <item x="171"/>
        <item x="423"/>
        <item x="442"/>
        <item x="560"/>
        <item x="39"/>
        <item x="11"/>
        <item x="243"/>
        <item x="522"/>
        <item x="321"/>
        <item x="134"/>
        <item x="120"/>
        <item x="566"/>
        <item x="31"/>
        <item x="153"/>
        <item x="298"/>
        <item x="289"/>
        <item x="343"/>
        <item x="29"/>
        <item x="496"/>
        <item x="441"/>
        <item x="433"/>
        <item x="345"/>
        <item x="401"/>
        <item x="505"/>
        <item x="115"/>
        <item x="117"/>
        <item x="567"/>
        <item x="512"/>
        <item x="131"/>
        <item x="101"/>
        <item x="265"/>
        <item x="304"/>
        <item x="44"/>
        <item x="256"/>
        <item x="241"/>
        <item x="270"/>
        <item x="513"/>
        <item x="129"/>
        <item x="543"/>
        <item x="176"/>
        <item x="469"/>
        <item x="187"/>
        <item x="87"/>
        <item x="294"/>
        <item x="190"/>
        <item x="471"/>
        <item x="362"/>
        <item x="239"/>
        <item x="285"/>
        <item x="264"/>
        <item x="167"/>
        <item x="452"/>
        <item x="562"/>
        <item x="420"/>
        <item x="446"/>
        <item x="122"/>
        <item x="218"/>
        <item x="456"/>
        <item x="21"/>
        <item x="185"/>
        <item x="376"/>
        <item x="280"/>
        <item x="488"/>
        <item x="152"/>
        <item x="35"/>
        <item x="191"/>
        <item x="357"/>
        <item x="86"/>
        <item x="52"/>
        <item x="63"/>
        <item x="48"/>
        <item x="344"/>
        <item x="355"/>
        <item x="208"/>
        <item x="139"/>
        <item x="216"/>
        <item x="132"/>
        <item x="263"/>
        <item x="68"/>
        <item x="220"/>
        <item x="492"/>
        <item x="74"/>
        <item x="409"/>
        <item x="154"/>
        <item x="506"/>
        <item x="128"/>
        <item x="511"/>
        <item x="267"/>
        <item x="113"/>
        <item x="136"/>
        <item x="143"/>
        <item x="169"/>
        <item x="472"/>
        <item x="459"/>
        <item x="83"/>
        <item x="73"/>
        <item x="66"/>
        <item x="242"/>
        <item x="269"/>
        <item x="27"/>
        <item x="262"/>
        <item x="333"/>
        <item x="554"/>
        <item x="427"/>
        <item x="166"/>
        <item x="347"/>
        <item x="551"/>
        <item x="428"/>
        <item x="25"/>
        <item x="75"/>
        <item x="259"/>
        <item x="499"/>
        <item x="346"/>
        <item x="194"/>
        <item x="352"/>
        <item x="541"/>
        <item x="373"/>
        <item x="470"/>
        <item x="368"/>
        <item x="402"/>
        <item x="130"/>
        <item x="501"/>
        <item x="561"/>
        <item x="175"/>
        <item x="13"/>
        <item x="47"/>
        <item x="487"/>
        <item x="444"/>
        <item x="440"/>
        <item x="536"/>
        <item x="276"/>
        <item x="108"/>
        <item x="225"/>
        <item x="202"/>
        <item x="146"/>
        <item x="214"/>
        <item x="348"/>
        <item x="10"/>
        <item x="61"/>
        <item x="55"/>
        <item x="156"/>
        <item x="514"/>
        <item x="417"/>
        <item x="410"/>
        <item x="557"/>
        <item x="458"/>
        <item x="380"/>
        <item x="497"/>
        <item x="1"/>
        <item x="384"/>
        <item x="258"/>
        <item x="212"/>
        <item x="326"/>
        <item x="207"/>
        <item x="251"/>
        <item x="310"/>
        <item x="502"/>
        <item x="41"/>
        <item x="400"/>
        <item x="454"/>
        <item x="407"/>
        <item x="484"/>
        <item x="503"/>
        <item x="104"/>
        <item x="247"/>
        <item x="95"/>
        <item x="317"/>
        <item x="396"/>
        <item x="125"/>
        <item x="105"/>
        <item x="12"/>
        <item x="515"/>
        <item x="480"/>
        <item x="550"/>
        <item x="286"/>
        <item x="449"/>
        <item x="209"/>
        <item x="226"/>
        <item x="416"/>
        <item x="299"/>
        <item x="275"/>
        <item x="200"/>
        <item x="233"/>
        <item x="544"/>
        <item x="464"/>
        <item x="445"/>
        <item x="467"/>
        <item x="325"/>
        <item x="312"/>
        <item x="334"/>
        <item x="385"/>
        <item x="354"/>
        <item x="316"/>
        <item x="91"/>
        <item x="436"/>
        <item x="6"/>
        <item x="257"/>
        <item x="308"/>
        <item x="252"/>
        <item x="112"/>
        <item x="533"/>
        <item x="412"/>
        <item x="219"/>
        <item x="419"/>
        <item x="516"/>
        <item x="255"/>
        <item x="519"/>
        <item x="392"/>
        <item x="80"/>
        <item x="121"/>
        <item x="351"/>
        <item x="426"/>
        <item x="213"/>
        <item x="498"/>
        <item x="406"/>
        <item x="28"/>
        <item x="437"/>
        <item x="211"/>
        <item x="455"/>
        <item x="339"/>
        <item x="232"/>
        <item x="500"/>
        <item x="4"/>
        <item x="468"/>
        <item x="450"/>
        <item x="356"/>
        <item x="305"/>
        <item x="353"/>
        <item x="429"/>
        <item x="137"/>
        <item x="389"/>
        <item x="535"/>
        <item x="336"/>
        <item x="235"/>
        <item x="335"/>
        <item x="563"/>
        <item x="206"/>
        <item x="229"/>
        <item x="164"/>
        <item x="525"/>
        <item x="284"/>
        <item x="361"/>
        <item x="67"/>
        <item x="546"/>
        <item x="106"/>
        <item x="34"/>
        <item x="178"/>
        <item x="365"/>
        <item x="151"/>
        <item x="366"/>
        <item x="532"/>
        <item x="157"/>
        <item x="30"/>
        <item x="311"/>
        <item x="99"/>
        <item x="234"/>
        <item x="545"/>
        <item x="282"/>
        <item x="495"/>
        <item x="118"/>
        <item x="411"/>
        <item x="23"/>
        <item x="177"/>
        <item x="534"/>
        <item x="313"/>
        <item x="111"/>
        <item x="79"/>
        <item x="457"/>
        <item x="548"/>
        <item x="485"/>
        <item x="244"/>
        <item x="33"/>
        <item x="19"/>
        <item x="203"/>
        <item x="375"/>
        <item x="293"/>
        <item x="266"/>
        <item x="338"/>
        <item x="555"/>
        <item x="451"/>
        <item x="260"/>
        <item x="315"/>
        <item x="277"/>
        <item x="332"/>
        <item x="107"/>
        <item x="184"/>
        <item x="145"/>
        <item x="408"/>
        <item x="474"/>
        <item x="127"/>
        <item x="147"/>
        <item x="195"/>
        <item x="49"/>
        <item x="477"/>
        <item x="141"/>
        <item x="319"/>
        <item x="50"/>
        <item x="0"/>
        <item x="279"/>
        <item x="473"/>
        <item x="205"/>
        <item x="110"/>
        <item x="245"/>
        <item x="559"/>
        <item x="296"/>
        <item x="552"/>
        <item x="542"/>
        <item x="224"/>
        <item x="64"/>
        <item x="540"/>
        <item x="150"/>
        <item x="15"/>
        <item x="237"/>
        <item x="479"/>
        <item x="97"/>
        <item x="448"/>
        <item x="517"/>
        <item x="42"/>
        <item x="527"/>
        <item x="223"/>
        <item x="378"/>
        <item x="161"/>
        <item x="71"/>
        <item x="85"/>
        <item x="290"/>
        <item x="460"/>
        <item x="295"/>
        <item x="309"/>
        <item x="509"/>
        <item x="300"/>
        <item x="349"/>
        <item x="507"/>
        <item x="510"/>
        <item x="493"/>
        <item x="539"/>
        <item x="414"/>
        <item x="399"/>
        <item x="165"/>
        <item x="483"/>
        <item x="189"/>
        <item x="43"/>
        <item x="547"/>
        <item x="432"/>
        <item x="46"/>
        <item x="77"/>
        <item x="14"/>
        <item x="222"/>
        <item x="116"/>
        <item x="253"/>
        <item x="272"/>
        <item x="425"/>
        <item x="358"/>
        <item x="462"/>
        <item x="518"/>
        <item x="382"/>
        <item x="40"/>
        <item x="394"/>
        <item x="475"/>
        <item x="331"/>
        <item x="9"/>
        <item x="302"/>
        <item x="240"/>
        <item x="291"/>
        <item x="65"/>
        <item x="413"/>
        <item x="403"/>
        <item x="227"/>
        <item x="231"/>
        <item x="397"/>
        <item x="489"/>
        <item x="556"/>
        <item x="38"/>
        <item x="271"/>
        <item x="388"/>
        <item x="372"/>
        <item x="478"/>
        <item x="170"/>
        <item x="329"/>
        <item x="393"/>
        <item x="374"/>
        <item x="303"/>
        <item x="421"/>
        <item x="476"/>
        <item x="434"/>
        <item x="236"/>
        <item x="323"/>
        <item x="390"/>
        <item x="180"/>
        <item x="418"/>
        <item x="504"/>
        <item x="36"/>
        <item x="2"/>
        <item x="463"/>
        <item x="538"/>
        <item x="443"/>
        <item x="370"/>
        <item x="45"/>
        <item x="57"/>
        <item x="59"/>
        <item x="93"/>
        <item x="391"/>
        <item x="564"/>
        <item x="342"/>
        <item x="287"/>
        <item x="341"/>
        <item x="371"/>
        <item x="481"/>
        <item x="524"/>
        <item x="568"/>
        <item x="217"/>
        <item x="192"/>
        <item x="337"/>
        <item x="215"/>
        <item x="398"/>
        <item x="549"/>
        <item x="553"/>
        <item x="62"/>
        <item x="148"/>
        <item x="288"/>
        <item x="8"/>
        <item x="186"/>
        <item x="179"/>
        <item x="360"/>
        <item x="51"/>
        <item x="430"/>
        <item x="530"/>
        <item x="381"/>
        <item x="135"/>
        <item x="173"/>
        <item x="537"/>
        <item x="520"/>
        <item x="168"/>
        <item x="24"/>
        <item x="54"/>
        <item x="89"/>
        <item x="404"/>
        <item x="198"/>
        <item x="174"/>
        <item x="155"/>
        <item x="53"/>
        <item x="327"/>
        <item x="278"/>
        <item x="78"/>
        <item x="386"/>
        <item x="114"/>
        <item x="431"/>
        <item x="273"/>
        <item x="307"/>
        <item x="340"/>
        <item x="102"/>
        <item x="318"/>
        <item x="447"/>
        <item x="210"/>
        <item x="172"/>
        <item x="109"/>
        <item x="193"/>
        <item x="72"/>
        <item x="238"/>
        <item x="60"/>
        <item x="159"/>
        <item x="82"/>
        <item x="531"/>
        <item x="261"/>
        <item x="301"/>
        <item x="138"/>
        <item x="486"/>
        <item x="254"/>
        <item x="482"/>
        <item x="16"/>
        <item x="162"/>
        <item x="466"/>
        <item x="490"/>
        <item x="58"/>
        <item x="330"/>
        <item x="367"/>
        <item x="221"/>
        <item x="32"/>
        <item x="508"/>
        <item x="230"/>
        <item x="56"/>
        <item x="528"/>
        <item x="103"/>
        <item x="363"/>
        <item x="297"/>
        <item x="133"/>
        <item x="324"/>
        <item x="94"/>
        <item x="88"/>
        <item x="69"/>
        <item x="183"/>
        <item x="124"/>
        <item x="76"/>
        <item x="81"/>
        <item x="92"/>
        <item x="292"/>
        <item x="18"/>
        <item x="461"/>
        <item x="144"/>
        <item x="424"/>
        <item x="70"/>
        <item x="96"/>
        <item x="350"/>
        <item x="322"/>
        <item x="494"/>
        <item x="383"/>
        <item x="274"/>
        <item x="181"/>
        <item x="140"/>
        <item x="5"/>
        <item x="123"/>
        <item x="565"/>
        <item x="84"/>
        <item x="438"/>
        <item x="22"/>
        <item x="100"/>
        <item x="439"/>
        <item x="529"/>
        <item x="364"/>
        <item x="558"/>
        <item x="387"/>
        <item x="126"/>
        <item x="320"/>
        <item x="359"/>
        <item x="7"/>
        <item x="197"/>
        <item x="26"/>
        <item x="248"/>
        <item x="523"/>
        <item x="465"/>
        <item x="98"/>
        <item x="160"/>
        <item x="90"/>
        <item x="204"/>
        <item x="201"/>
        <item t="default"/>
      </items>
    </pivotField>
    <pivotField showAll="0">
      <items count="3">
        <item x="0"/>
        <item x="1"/>
        <item t="default"/>
      </items>
    </pivotField>
    <pivotField axis="axisRow" showAll="0">
      <items count="17">
        <item x="13"/>
        <item x="0"/>
        <item x="4"/>
        <item x="3"/>
        <item x="2"/>
        <item x="9"/>
        <item x="10"/>
        <item x="14"/>
        <item x="7"/>
        <item x="15"/>
        <item x="1"/>
        <item x="5"/>
        <item x="11"/>
        <item x="8"/>
        <item x="12"/>
        <item x="6"/>
        <item t="default"/>
      </items>
    </pivotField>
    <pivotField showAll="0"/>
    <pivotField showAll="0"/>
    <pivotField showAll="0">
      <items count="596">
        <item x="507"/>
        <item x="569"/>
        <item x="424"/>
        <item x="330"/>
        <item x="468"/>
        <item x="14"/>
        <item x="43"/>
        <item x="36"/>
        <item x="395"/>
        <item x="233"/>
        <item x="129"/>
        <item x="239"/>
        <item x="302"/>
        <item x="158"/>
        <item x="180"/>
        <item x="164"/>
        <item x="42"/>
        <item x="390"/>
        <item x="387"/>
        <item x="326"/>
        <item x="423"/>
        <item x="83"/>
        <item x="480"/>
        <item x="252"/>
        <item x="195"/>
        <item x="84"/>
        <item x="102"/>
        <item x="349"/>
        <item x="344"/>
        <item x="47"/>
        <item x="541"/>
        <item x="1"/>
        <item x="258"/>
        <item x="316"/>
        <item x="117"/>
        <item x="270"/>
        <item x="419"/>
        <item x="543"/>
        <item x="516"/>
        <item x="289"/>
        <item x="517"/>
        <item x="171"/>
        <item x="533"/>
        <item x="6"/>
        <item x="500"/>
        <item x="508"/>
        <item x="520"/>
        <item x="552"/>
        <item x="61"/>
        <item x="314"/>
        <item x="369"/>
        <item x="12"/>
        <item x="421"/>
        <item x="449"/>
        <item x="149"/>
        <item x="329"/>
        <item x="282"/>
        <item x="255"/>
        <item x="77"/>
        <item x="251"/>
        <item x="445"/>
        <item x="548"/>
        <item x="408"/>
        <item x="279"/>
        <item x="150"/>
        <item x="82"/>
        <item x="204"/>
        <item x="41"/>
        <item x="434"/>
        <item x="406"/>
        <item x="321"/>
        <item x="382"/>
        <item x="414"/>
        <item x="63"/>
        <item x="503"/>
        <item x="400"/>
        <item x="450"/>
        <item x="37"/>
        <item x="565"/>
        <item x="127"/>
        <item x="364"/>
        <item x="568"/>
        <item x="447"/>
        <item x="30"/>
        <item x="143"/>
        <item x="496"/>
        <item x="383"/>
        <item x="335"/>
        <item x="570"/>
        <item x="140"/>
        <item x="254"/>
        <item x="345"/>
        <item x="306"/>
        <item x="311"/>
        <item x="561"/>
        <item x="401"/>
        <item x="246"/>
        <item x="59"/>
        <item x="472"/>
        <item x="350"/>
        <item x="515"/>
        <item x="439"/>
        <item x="497"/>
        <item x="532"/>
        <item x="75"/>
        <item x="277"/>
        <item x="111"/>
        <item x="454"/>
        <item x="415"/>
        <item x="493"/>
        <item x="501"/>
        <item x="428"/>
        <item x="125"/>
        <item x="322"/>
        <item x="178"/>
        <item x="460"/>
        <item x="318"/>
        <item x="323"/>
        <item x="340"/>
        <item x="451"/>
        <item x="286"/>
        <item x="476"/>
        <item x="218"/>
        <item x="38"/>
        <item x="87"/>
        <item x="183"/>
        <item x="545"/>
        <item x="88"/>
        <item x="241"/>
        <item x="20"/>
        <item x="549"/>
        <item x="39"/>
        <item x="135"/>
        <item x="200"/>
        <item x="530"/>
        <item x="220"/>
        <item x="567"/>
        <item x="243"/>
        <item x="179"/>
        <item x="4"/>
        <item x="236"/>
        <item x="436"/>
        <item x="594"/>
        <item x="461"/>
        <item x="194"/>
        <item x="27"/>
        <item x="456"/>
        <item x="144"/>
        <item x="333"/>
        <item x="15"/>
        <item x="296"/>
        <item x="525"/>
        <item x="157"/>
        <item x="469"/>
        <item x="119"/>
        <item x="560"/>
        <item x="81"/>
        <item x="385"/>
        <item x="151"/>
        <item x="583"/>
        <item x="293"/>
        <item x="70"/>
        <item x="535"/>
        <item x="455"/>
        <item x="90"/>
        <item x="404"/>
        <item x="502"/>
        <item x="267"/>
        <item x="537"/>
        <item x="120"/>
        <item x="208"/>
        <item x="443"/>
        <item x="71"/>
        <item x="281"/>
        <item x="76"/>
        <item x="110"/>
        <item x="505"/>
        <item x="141"/>
        <item x="134"/>
        <item x="17"/>
        <item x="97"/>
        <item x="343"/>
        <item x="54"/>
        <item x="550"/>
        <item x="463"/>
        <item x="368"/>
        <item x="28"/>
        <item x="52"/>
        <item x="100"/>
        <item x="563"/>
        <item x="86"/>
        <item x="93"/>
        <item x="210"/>
        <item x="410"/>
        <item x="551"/>
        <item x="48"/>
        <item x="276"/>
        <item x="313"/>
        <item x="351"/>
        <item x="222"/>
        <item x="69"/>
        <item x="519"/>
        <item x="177"/>
        <item x="232"/>
        <item x="484"/>
        <item x="393"/>
        <item x="73"/>
        <item x="109"/>
        <item x="381"/>
        <item x="305"/>
        <item x="290"/>
        <item x="391"/>
        <item x="487"/>
        <item x="578"/>
        <item x="409"/>
        <item x="388"/>
        <item x="160"/>
        <item x="167"/>
        <item x="165"/>
        <item x="101"/>
        <item x="202"/>
        <item x="303"/>
        <item x="292"/>
        <item x="26"/>
        <item x="536"/>
        <item x="0"/>
        <item x="377"/>
        <item x="392"/>
        <item x="425"/>
        <item x="337"/>
        <item x="91"/>
        <item x="124"/>
        <item x="207"/>
        <item x="458"/>
        <item x="465"/>
        <item x="257"/>
        <item x="546"/>
        <item x="398"/>
        <item x="518"/>
        <item x="95"/>
        <item x="531"/>
        <item x="389"/>
        <item x="287"/>
        <item x="5"/>
        <item x="24"/>
        <item x="115"/>
        <item x="513"/>
        <item x="130"/>
        <item x="547"/>
        <item x="566"/>
        <item x="413"/>
        <item x="575"/>
        <item x="574"/>
        <item x="9"/>
        <item x="249"/>
        <item x="53"/>
        <item x="22"/>
        <item x="442"/>
        <item x="128"/>
        <item x="212"/>
        <item x="499"/>
        <item x="348"/>
        <item x="304"/>
        <item x="99"/>
        <item x="107"/>
        <item x="19"/>
        <item x="498"/>
        <item x="540"/>
        <item x="244"/>
        <item x="122"/>
        <item x="577"/>
        <item x="259"/>
        <item x="187"/>
        <item x="168"/>
        <item x="40"/>
        <item x="479"/>
        <item x="224"/>
        <item x="339"/>
        <item x="571"/>
        <item x="475"/>
        <item x="188"/>
        <item x="558"/>
        <item x="372"/>
        <item x="219"/>
        <item x="32"/>
        <item x="588"/>
        <item x="18"/>
        <item x="576"/>
        <item x="471"/>
        <item x="264"/>
        <item x="203"/>
        <item x="459"/>
        <item x="495"/>
        <item x="184"/>
        <item x="490"/>
        <item x="123"/>
        <item x="539"/>
        <item x="379"/>
        <item x="405"/>
        <item x="301"/>
        <item x="285"/>
        <item x="152"/>
        <item x="559"/>
        <item x="266"/>
        <item x="374"/>
        <item x="491"/>
        <item x="7"/>
        <item x="589"/>
        <item x="25"/>
        <item x="85"/>
        <item x="512"/>
        <item x="29"/>
        <item x="522"/>
        <item x="319"/>
        <item x="338"/>
        <item x="206"/>
        <item x="225"/>
        <item x="591"/>
        <item x="418"/>
        <item x="538"/>
        <item x="371"/>
        <item x="361"/>
        <item x="74"/>
        <item x="586"/>
        <item x="353"/>
        <item x="231"/>
        <item x="274"/>
        <item x="51"/>
        <item x="66"/>
        <item x="173"/>
        <item x="347"/>
        <item x="299"/>
        <item x="407"/>
        <item x="542"/>
        <item x="534"/>
        <item x="230"/>
        <item x="65"/>
        <item x="10"/>
        <item x="169"/>
        <item x="155"/>
        <item x="483"/>
        <item x="174"/>
        <item x="191"/>
        <item x="514"/>
        <item x="291"/>
        <item x="273"/>
        <item x="477"/>
        <item x="562"/>
        <item x="327"/>
        <item x="488"/>
        <item x="403"/>
        <item x="78"/>
        <item x="396"/>
        <item x="435"/>
        <item x="136"/>
        <item x="62"/>
        <item x="288"/>
        <item x="280"/>
        <item x="3"/>
        <item x="154"/>
        <item x="131"/>
        <item x="197"/>
        <item x="145"/>
        <item x="121"/>
        <item x="437"/>
        <item x="417"/>
        <item x="362"/>
        <item x="492"/>
        <item x="193"/>
        <item x="137"/>
        <item x="271"/>
        <item x="448"/>
        <item x="422"/>
        <item x="223"/>
        <item x="462"/>
        <item x="554"/>
        <item x="142"/>
        <item x="431"/>
        <item x="190"/>
        <item x="221"/>
        <item x="98"/>
        <item x="45"/>
        <item x="432"/>
        <item x="402"/>
        <item x="163"/>
        <item x="440"/>
        <item x="166"/>
        <item x="182"/>
        <item x="587"/>
        <item x="397"/>
        <item x="253"/>
        <item x="593"/>
        <item x="474"/>
        <item x="297"/>
        <item x="92"/>
        <item x="581"/>
        <item x="162"/>
        <item x="346"/>
        <item x="138"/>
        <item x="228"/>
        <item x="485"/>
        <item x="21"/>
        <item x="284"/>
        <item x="308"/>
        <item x="147"/>
        <item x="315"/>
        <item x="360"/>
        <item x="248"/>
        <item x="582"/>
        <item x="309"/>
        <item x="227"/>
        <item x="56"/>
        <item x="262"/>
        <item x="573"/>
        <item x="580"/>
        <item x="494"/>
        <item x="420"/>
        <item x="310"/>
        <item x="186"/>
        <item x="146"/>
        <item x="238"/>
        <item x="133"/>
        <item x="452"/>
        <item x="60"/>
        <item x="16"/>
        <item x="527"/>
        <item x="31"/>
        <item x="510"/>
        <item x="411"/>
        <item x="156"/>
        <item x="342"/>
        <item x="334"/>
        <item x="300"/>
        <item x="365"/>
        <item x="467"/>
        <item x="544"/>
        <item x="429"/>
        <item x="148"/>
        <item x="332"/>
        <item x="226"/>
        <item x="153"/>
        <item x="336"/>
        <item x="370"/>
        <item x="585"/>
        <item x="247"/>
        <item x="399"/>
        <item x="473"/>
        <item x="242"/>
        <item x="50"/>
        <item x="23"/>
        <item x="444"/>
        <item x="126"/>
        <item x="367"/>
        <item x="185"/>
        <item x="438"/>
        <item x="201"/>
        <item x="214"/>
        <item x="49"/>
        <item x="478"/>
        <item x="441"/>
        <item x="64"/>
        <item x="579"/>
        <item x="172"/>
        <item x="234"/>
        <item x="34"/>
        <item x="72"/>
        <item x="104"/>
        <item x="511"/>
        <item x="555"/>
        <item x="46"/>
        <item x="446"/>
        <item x="509"/>
        <item x="584"/>
        <item x="205"/>
        <item x="33"/>
        <item x="269"/>
        <item x="35"/>
        <item x="181"/>
        <item x="250"/>
        <item x="215"/>
        <item x="272"/>
        <item x="524"/>
        <item x="261"/>
        <item x="356"/>
        <item x="466"/>
        <item x="482"/>
        <item x="529"/>
        <item x="324"/>
        <item x="105"/>
        <item x="457"/>
        <item x="433"/>
        <item x="114"/>
        <item x="209"/>
        <item x="427"/>
        <item x="103"/>
        <item x="79"/>
        <item x="489"/>
        <item x="355"/>
        <item x="412"/>
        <item x="430"/>
        <item x="294"/>
        <item x="357"/>
        <item x="504"/>
        <item x="213"/>
        <item x="453"/>
        <item x="523"/>
        <item x="108"/>
        <item x="265"/>
        <item x="384"/>
        <item x="506"/>
        <item x="94"/>
        <item x="373"/>
        <item x="312"/>
        <item x="307"/>
        <item x="331"/>
        <item x="366"/>
        <item x="13"/>
        <item x="240"/>
        <item x="325"/>
        <item x="359"/>
        <item x="556"/>
        <item x="526"/>
        <item x="58"/>
        <item x="263"/>
        <item x="96"/>
        <item x="426"/>
        <item x="528"/>
        <item x="80"/>
        <item x="298"/>
        <item x="57"/>
        <item x="557"/>
        <item x="192"/>
        <item x="380"/>
        <item x="67"/>
        <item x="216"/>
        <item x="106"/>
        <item x="553"/>
        <item x="159"/>
        <item x="235"/>
        <item x="394"/>
        <item x="55"/>
        <item x="161"/>
        <item x="139"/>
        <item x="278"/>
        <item x="268"/>
        <item x="376"/>
        <item x="572"/>
        <item x="199"/>
        <item x="295"/>
        <item x="170"/>
        <item x="211"/>
        <item x="486"/>
        <item x="8"/>
        <item x="363"/>
        <item x="68"/>
        <item x="386"/>
        <item x="132"/>
        <item x="245"/>
        <item x="113"/>
        <item x="175"/>
        <item x="11"/>
        <item x="44"/>
        <item x="564"/>
        <item x="328"/>
        <item x="189"/>
        <item x="237"/>
        <item x="198"/>
        <item x="375"/>
        <item x="341"/>
        <item x="354"/>
        <item x="470"/>
        <item x="112"/>
        <item x="196"/>
        <item x="416"/>
        <item x="590"/>
        <item x="378"/>
        <item x="464"/>
        <item x="358"/>
        <item x="176"/>
        <item x="592"/>
        <item x="89"/>
        <item x="118"/>
        <item x="275"/>
        <item x="217"/>
        <item x="283"/>
        <item x="317"/>
        <item x="256"/>
        <item x="260"/>
        <item x="352"/>
        <item x="229"/>
        <item x="116"/>
        <item x="320"/>
        <item x="481"/>
        <item x="521"/>
        <item x="2"/>
        <item t="default"/>
      </items>
    </pivotField>
    <pivotField dataField="1" showAll="0"/>
    <pivotField showAll="0"/>
    <pivotField axis="axisCol" showAll="0">
      <items count="12">
        <item x="0"/>
        <item x="2"/>
        <item x="7"/>
        <item x="6"/>
        <item x="1"/>
        <item x="9"/>
        <item x="5"/>
        <item x="4"/>
        <item x="10"/>
        <item x="3"/>
        <item x="8"/>
        <item t="default"/>
      </items>
    </pivotField>
    <pivotField showAll="0"/>
  </pivotFields>
  <rowFields count="1">
    <field x="5"/>
  </rowFields>
  <rowItems count="17">
    <i>
      <x/>
    </i>
    <i>
      <x v="1"/>
    </i>
    <i>
      <x v="2"/>
    </i>
    <i>
      <x v="3"/>
    </i>
    <i>
      <x v="4"/>
    </i>
    <i>
      <x v="5"/>
    </i>
    <i>
      <x v="6"/>
    </i>
    <i>
      <x v="7"/>
    </i>
    <i>
      <x v="8"/>
    </i>
    <i>
      <x v="9"/>
    </i>
    <i>
      <x v="10"/>
    </i>
    <i>
      <x v="11"/>
    </i>
    <i>
      <x v="12"/>
    </i>
    <i>
      <x v="13"/>
    </i>
    <i>
      <x v="14"/>
    </i>
    <i>
      <x v="15"/>
    </i>
    <i t="grand">
      <x/>
    </i>
  </rowItems>
  <colFields count="1">
    <field x="11"/>
  </colFields>
  <colItems count="12">
    <i>
      <x/>
    </i>
    <i>
      <x v="1"/>
    </i>
    <i>
      <x v="2"/>
    </i>
    <i>
      <x v="3"/>
    </i>
    <i>
      <x v="4"/>
    </i>
    <i>
      <x v="5"/>
    </i>
    <i>
      <x v="6"/>
    </i>
    <i>
      <x v="7"/>
    </i>
    <i>
      <x v="8"/>
    </i>
    <i>
      <x v="9"/>
    </i>
    <i>
      <x v="10"/>
    </i>
    <i t="grand">
      <x/>
    </i>
  </colItems>
  <dataFields count="1">
    <dataField name="Max of Income only" fld="9" subtotal="max" baseField="5"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804C5E-DFD9-4DBF-8E19-527F3A4FB4C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23" firstHeaderRow="1" firstDataRow="2" firstDataCol="1"/>
  <pivotFields count="13">
    <pivotField showAll="0"/>
    <pivotField showAll="0"/>
    <pivotField showAll="0"/>
    <pivotField showAll="0">
      <items count="571">
        <item x="3"/>
        <item x="188"/>
        <item x="415"/>
        <item x="149"/>
        <item x="395"/>
        <item x="283"/>
        <item x="281"/>
        <item x="268"/>
        <item x="328"/>
        <item x="306"/>
        <item x="521"/>
        <item x="119"/>
        <item x="20"/>
        <item x="369"/>
        <item x="228"/>
        <item x="435"/>
        <item x="491"/>
        <item x="199"/>
        <item x="37"/>
        <item x="405"/>
        <item x="379"/>
        <item x="17"/>
        <item x="249"/>
        <item x="453"/>
        <item x="158"/>
        <item x="196"/>
        <item x="246"/>
        <item x="182"/>
        <item x="142"/>
        <item x="377"/>
        <item x="163"/>
        <item x="422"/>
        <item x="526"/>
        <item x="569"/>
        <item x="250"/>
        <item x="314"/>
        <item x="171"/>
        <item x="423"/>
        <item x="442"/>
        <item x="560"/>
        <item x="39"/>
        <item x="11"/>
        <item x="243"/>
        <item x="522"/>
        <item x="321"/>
        <item x="134"/>
        <item x="120"/>
        <item x="566"/>
        <item x="31"/>
        <item x="153"/>
        <item x="298"/>
        <item x="289"/>
        <item x="343"/>
        <item x="29"/>
        <item x="496"/>
        <item x="441"/>
        <item x="433"/>
        <item x="345"/>
        <item x="401"/>
        <item x="505"/>
        <item x="115"/>
        <item x="117"/>
        <item x="567"/>
        <item x="512"/>
        <item x="131"/>
        <item x="101"/>
        <item x="265"/>
        <item x="304"/>
        <item x="44"/>
        <item x="256"/>
        <item x="241"/>
        <item x="270"/>
        <item x="513"/>
        <item x="129"/>
        <item x="543"/>
        <item x="176"/>
        <item x="469"/>
        <item x="187"/>
        <item x="87"/>
        <item x="294"/>
        <item x="190"/>
        <item x="471"/>
        <item x="362"/>
        <item x="239"/>
        <item x="285"/>
        <item x="264"/>
        <item x="167"/>
        <item x="452"/>
        <item x="562"/>
        <item x="420"/>
        <item x="446"/>
        <item x="122"/>
        <item x="218"/>
        <item x="456"/>
        <item x="21"/>
        <item x="185"/>
        <item x="376"/>
        <item x="280"/>
        <item x="488"/>
        <item x="152"/>
        <item x="35"/>
        <item x="191"/>
        <item x="357"/>
        <item x="86"/>
        <item x="52"/>
        <item x="63"/>
        <item x="48"/>
        <item x="344"/>
        <item x="355"/>
        <item x="208"/>
        <item x="139"/>
        <item x="216"/>
        <item x="132"/>
        <item x="263"/>
        <item x="68"/>
        <item x="220"/>
        <item x="492"/>
        <item x="74"/>
        <item x="409"/>
        <item x="154"/>
        <item x="506"/>
        <item x="128"/>
        <item x="511"/>
        <item x="267"/>
        <item x="113"/>
        <item x="136"/>
        <item x="143"/>
        <item x="169"/>
        <item x="472"/>
        <item x="459"/>
        <item x="83"/>
        <item x="73"/>
        <item x="66"/>
        <item x="242"/>
        <item x="269"/>
        <item x="27"/>
        <item x="262"/>
        <item x="333"/>
        <item x="554"/>
        <item x="427"/>
        <item x="166"/>
        <item x="347"/>
        <item x="551"/>
        <item x="428"/>
        <item x="25"/>
        <item x="75"/>
        <item x="259"/>
        <item x="499"/>
        <item x="346"/>
        <item x="194"/>
        <item x="352"/>
        <item x="541"/>
        <item x="373"/>
        <item x="470"/>
        <item x="368"/>
        <item x="402"/>
        <item x="130"/>
        <item x="501"/>
        <item x="561"/>
        <item x="175"/>
        <item x="13"/>
        <item x="47"/>
        <item x="487"/>
        <item x="444"/>
        <item x="440"/>
        <item x="536"/>
        <item x="276"/>
        <item x="108"/>
        <item x="225"/>
        <item x="202"/>
        <item x="146"/>
        <item x="214"/>
        <item x="348"/>
        <item x="10"/>
        <item x="61"/>
        <item x="55"/>
        <item x="156"/>
        <item x="514"/>
        <item x="417"/>
        <item x="410"/>
        <item x="557"/>
        <item x="458"/>
        <item x="380"/>
        <item x="497"/>
        <item x="1"/>
        <item x="384"/>
        <item x="258"/>
        <item x="212"/>
        <item x="326"/>
        <item x="207"/>
        <item x="251"/>
        <item x="310"/>
        <item x="502"/>
        <item x="41"/>
        <item x="400"/>
        <item x="454"/>
        <item x="407"/>
        <item x="484"/>
        <item x="503"/>
        <item x="104"/>
        <item x="247"/>
        <item x="95"/>
        <item x="317"/>
        <item x="396"/>
        <item x="125"/>
        <item x="105"/>
        <item x="12"/>
        <item x="515"/>
        <item x="480"/>
        <item x="550"/>
        <item x="286"/>
        <item x="449"/>
        <item x="209"/>
        <item x="226"/>
        <item x="416"/>
        <item x="299"/>
        <item x="275"/>
        <item x="200"/>
        <item x="233"/>
        <item x="544"/>
        <item x="464"/>
        <item x="445"/>
        <item x="467"/>
        <item x="325"/>
        <item x="312"/>
        <item x="334"/>
        <item x="385"/>
        <item x="354"/>
        <item x="316"/>
        <item x="91"/>
        <item x="436"/>
        <item x="6"/>
        <item x="257"/>
        <item x="308"/>
        <item x="252"/>
        <item x="112"/>
        <item x="533"/>
        <item x="412"/>
        <item x="219"/>
        <item x="419"/>
        <item x="516"/>
        <item x="255"/>
        <item x="519"/>
        <item x="392"/>
        <item x="80"/>
        <item x="121"/>
        <item x="351"/>
        <item x="426"/>
        <item x="213"/>
        <item x="498"/>
        <item x="406"/>
        <item x="28"/>
        <item x="437"/>
        <item x="211"/>
        <item x="455"/>
        <item x="339"/>
        <item x="232"/>
        <item x="500"/>
        <item x="4"/>
        <item x="468"/>
        <item x="450"/>
        <item x="356"/>
        <item x="305"/>
        <item x="353"/>
        <item x="429"/>
        <item x="137"/>
        <item x="389"/>
        <item x="535"/>
        <item x="336"/>
        <item x="235"/>
        <item x="335"/>
        <item x="563"/>
        <item x="206"/>
        <item x="229"/>
        <item x="164"/>
        <item x="525"/>
        <item x="284"/>
        <item x="361"/>
        <item x="67"/>
        <item x="546"/>
        <item x="106"/>
        <item x="34"/>
        <item x="178"/>
        <item x="365"/>
        <item x="151"/>
        <item x="366"/>
        <item x="532"/>
        <item x="157"/>
        <item x="30"/>
        <item x="311"/>
        <item x="99"/>
        <item x="234"/>
        <item x="545"/>
        <item x="282"/>
        <item x="495"/>
        <item x="118"/>
        <item x="411"/>
        <item x="23"/>
        <item x="177"/>
        <item x="534"/>
        <item x="313"/>
        <item x="111"/>
        <item x="79"/>
        <item x="457"/>
        <item x="548"/>
        <item x="485"/>
        <item x="244"/>
        <item x="33"/>
        <item x="19"/>
        <item x="203"/>
        <item x="375"/>
        <item x="293"/>
        <item x="266"/>
        <item x="338"/>
        <item x="555"/>
        <item x="451"/>
        <item x="260"/>
        <item x="315"/>
        <item x="277"/>
        <item x="332"/>
        <item x="107"/>
        <item x="184"/>
        <item x="145"/>
        <item x="408"/>
        <item x="474"/>
        <item x="127"/>
        <item x="147"/>
        <item x="195"/>
        <item x="49"/>
        <item x="477"/>
        <item x="141"/>
        <item x="319"/>
        <item x="50"/>
        <item x="0"/>
        <item x="279"/>
        <item x="473"/>
        <item x="205"/>
        <item x="110"/>
        <item x="245"/>
        <item x="559"/>
        <item x="296"/>
        <item x="552"/>
        <item x="542"/>
        <item x="224"/>
        <item x="64"/>
        <item x="540"/>
        <item x="150"/>
        <item x="15"/>
        <item x="237"/>
        <item x="479"/>
        <item x="97"/>
        <item x="448"/>
        <item x="517"/>
        <item x="42"/>
        <item x="527"/>
        <item x="223"/>
        <item x="378"/>
        <item x="161"/>
        <item x="71"/>
        <item x="85"/>
        <item x="290"/>
        <item x="460"/>
        <item x="295"/>
        <item x="309"/>
        <item x="509"/>
        <item x="300"/>
        <item x="349"/>
        <item x="507"/>
        <item x="510"/>
        <item x="493"/>
        <item x="539"/>
        <item x="414"/>
        <item x="399"/>
        <item x="165"/>
        <item x="483"/>
        <item x="189"/>
        <item x="43"/>
        <item x="547"/>
        <item x="432"/>
        <item x="46"/>
        <item x="77"/>
        <item x="14"/>
        <item x="222"/>
        <item x="116"/>
        <item x="253"/>
        <item x="272"/>
        <item x="425"/>
        <item x="358"/>
        <item x="462"/>
        <item x="518"/>
        <item x="382"/>
        <item x="40"/>
        <item x="394"/>
        <item x="475"/>
        <item x="331"/>
        <item x="9"/>
        <item x="302"/>
        <item x="240"/>
        <item x="291"/>
        <item x="65"/>
        <item x="413"/>
        <item x="403"/>
        <item x="227"/>
        <item x="231"/>
        <item x="397"/>
        <item x="489"/>
        <item x="556"/>
        <item x="38"/>
        <item x="271"/>
        <item x="388"/>
        <item x="372"/>
        <item x="478"/>
        <item x="170"/>
        <item x="329"/>
        <item x="393"/>
        <item x="374"/>
        <item x="303"/>
        <item x="421"/>
        <item x="476"/>
        <item x="434"/>
        <item x="236"/>
        <item x="323"/>
        <item x="390"/>
        <item x="180"/>
        <item x="418"/>
        <item x="504"/>
        <item x="36"/>
        <item x="2"/>
        <item x="463"/>
        <item x="538"/>
        <item x="443"/>
        <item x="370"/>
        <item x="45"/>
        <item x="57"/>
        <item x="59"/>
        <item x="93"/>
        <item x="391"/>
        <item x="564"/>
        <item x="342"/>
        <item x="287"/>
        <item x="341"/>
        <item x="371"/>
        <item x="481"/>
        <item x="524"/>
        <item x="568"/>
        <item x="217"/>
        <item x="192"/>
        <item x="337"/>
        <item x="215"/>
        <item x="398"/>
        <item x="549"/>
        <item x="553"/>
        <item x="62"/>
        <item x="148"/>
        <item x="288"/>
        <item x="8"/>
        <item x="186"/>
        <item x="179"/>
        <item x="360"/>
        <item x="51"/>
        <item x="430"/>
        <item x="530"/>
        <item x="381"/>
        <item x="135"/>
        <item x="173"/>
        <item x="537"/>
        <item x="520"/>
        <item x="168"/>
        <item x="24"/>
        <item x="54"/>
        <item x="89"/>
        <item x="404"/>
        <item x="198"/>
        <item x="174"/>
        <item x="155"/>
        <item x="53"/>
        <item x="327"/>
        <item x="278"/>
        <item x="78"/>
        <item x="386"/>
        <item x="114"/>
        <item x="431"/>
        <item x="273"/>
        <item x="307"/>
        <item x="340"/>
        <item x="102"/>
        <item x="318"/>
        <item x="447"/>
        <item x="210"/>
        <item x="172"/>
        <item x="109"/>
        <item x="193"/>
        <item x="72"/>
        <item x="238"/>
        <item x="60"/>
        <item x="159"/>
        <item x="82"/>
        <item x="531"/>
        <item x="261"/>
        <item x="301"/>
        <item x="138"/>
        <item x="486"/>
        <item x="254"/>
        <item x="482"/>
        <item x="16"/>
        <item x="162"/>
        <item x="466"/>
        <item x="490"/>
        <item x="58"/>
        <item x="330"/>
        <item x="367"/>
        <item x="221"/>
        <item x="32"/>
        <item x="508"/>
        <item x="230"/>
        <item x="56"/>
        <item x="528"/>
        <item x="103"/>
        <item x="363"/>
        <item x="297"/>
        <item x="133"/>
        <item x="324"/>
        <item x="94"/>
        <item x="88"/>
        <item x="69"/>
        <item x="183"/>
        <item x="124"/>
        <item x="76"/>
        <item x="81"/>
        <item x="92"/>
        <item x="292"/>
        <item x="18"/>
        <item x="461"/>
        <item x="144"/>
        <item x="424"/>
        <item x="70"/>
        <item x="96"/>
        <item x="350"/>
        <item x="322"/>
        <item x="494"/>
        <item x="383"/>
        <item x="274"/>
        <item x="181"/>
        <item x="140"/>
        <item x="5"/>
        <item x="123"/>
        <item x="565"/>
        <item x="84"/>
        <item x="438"/>
        <item x="22"/>
        <item x="100"/>
        <item x="439"/>
        <item x="529"/>
        <item x="364"/>
        <item x="558"/>
        <item x="387"/>
        <item x="126"/>
        <item x="320"/>
        <item x="359"/>
        <item x="7"/>
        <item x="197"/>
        <item x="26"/>
        <item x="248"/>
        <item x="523"/>
        <item x="465"/>
        <item x="98"/>
        <item x="160"/>
        <item x="90"/>
        <item x="204"/>
        <item x="201"/>
        <item t="default"/>
      </items>
    </pivotField>
    <pivotField axis="axisCol" showAll="0">
      <items count="3">
        <item x="0"/>
        <item x="1"/>
        <item t="default"/>
      </items>
    </pivotField>
    <pivotField axis="axisRow" showAll="0">
      <items count="17">
        <item x="13"/>
        <item x="0"/>
        <item x="4"/>
        <item x="3"/>
        <item x="2"/>
        <item x="9"/>
        <item x="10"/>
        <item x="14"/>
        <item x="7"/>
        <item x="15"/>
        <item x="1"/>
        <item x="5"/>
        <item x="11"/>
        <item x="8"/>
        <item x="12"/>
        <item x="6"/>
        <item t="default"/>
      </items>
    </pivotField>
    <pivotField dataField="1" showAll="0"/>
    <pivotField showAll="0"/>
    <pivotField showAll="0">
      <items count="596">
        <item x="507"/>
        <item x="569"/>
        <item x="424"/>
        <item x="330"/>
        <item x="468"/>
        <item x="14"/>
        <item x="43"/>
        <item x="36"/>
        <item x="395"/>
        <item x="233"/>
        <item x="129"/>
        <item x="239"/>
        <item x="302"/>
        <item x="158"/>
        <item x="180"/>
        <item x="164"/>
        <item x="42"/>
        <item x="390"/>
        <item x="387"/>
        <item x="326"/>
        <item x="423"/>
        <item x="83"/>
        <item x="480"/>
        <item x="252"/>
        <item x="195"/>
        <item x="84"/>
        <item x="102"/>
        <item x="349"/>
        <item x="344"/>
        <item x="47"/>
        <item x="541"/>
        <item x="1"/>
        <item x="258"/>
        <item x="316"/>
        <item x="117"/>
        <item x="270"/>
        <item x="419"/>
        <item x="543"/>
        <item x="516"/>
        <item x="289"/>
        <item x="517"/>
        <item x="171"/>
        <item x="533"/>
        <item x="6"/>
        <item x="500"/>
        <item x="508"/>
        <item x="520"/>
        <item x="552"/>
        <item x="61"/>
        <item x="314"/>
        <item x="369"/>
        <item x="12"/>
        <item x="421"/>
        <item x="449"/>
        <item x="149"/>
        <item x="329"/>
        <item x="282"/>
        <item x="255"/>
        <item x="77"/>
        <item x="251"/>
        <item x="445"/>
        <item x="548"/>
        <item x="408"/>
        <item x="279"/>
        <item x="150"/>
        <item x="82"/>
        <item x="204"/>
        <item x="41"/>
        <item x="434"/>
        <item x="406"/>
        <item x="321"/>
        <item x="382"/>
        <item x="414"/>
        <item x="63"/>
        <item x="503"/>
        <item x="400"/>
        <item x="450"/>
        <item x="37"/>
        <item x="565"/>
        <item x="127"/>
        <item x="364"/>
        <item x="568"/>
        <item x="447"/>
        <item x="30"/>
        <item x="143"/>
        <item x="496"/>
        <item x="383"/>
        <item x="335"/>
        <item x="570"/>
        <item x="140"/>
        <item x="254"/>
        <item x="345"/>
        <item x="306"/>
        <item x="311"/>
        <item x="561"/>
        <item x="401"/>
        <item x="246"/>
        <item x="59"/>
        <item x="472"/>
        <item x="350"/>
        <item x="515"/>
        <item x="439"/>
        <item x="497"/>
        <item x="532"/>
        <item x="75"/>
        <item x="277"/>
        <item x="111"/>
        <item x="454"/>
        <item x="415"/>
        <item x="493"/>
        <item x="501"/>
        <item x="428"/>
        <item x="125"/>
        <item x="322"/>
        <item x="178"/>
        <item x="460"/>
        <item x="318"/>
        <item x="323"/>
        <item x="340"/>
        <item x="451"/>
        <item x="286"/>
        <item x="476"/>
        <item x="218"/>
        <item x="38"/>
        <item x="87"/>
        <item x="183"/>
        <item x="545"/>
        <item x="88"/>
        <item x="241"/>
        <item x="20"/>
        <item x="549"/>
        <item x="39"/>
        <item x="135"/>
        <item x="200"/>
        <item x="530"/>
        <item x="220"/>
        <item x="567"/>
        <item x="243"/>
        <item x="179"/>
        <item x="4"/>
        <item x="236"/>
        <item x="436"/>
        <item x="594"/>
        <item x="461"/>
        <item x="194"/>
        <item x="27"/>
        <item x="456"/>
        <item x="144"/>
        <item x="333"/>
        <item x="15"/>
        <item x="296"/>
        <item x="525"/>
        <item x="157"/>
        <item x="469"/>
        <item x="119"/>
        <item x="560"/>
        <item x="81"/>
        <item x="385"/>
        <item x="151"/>
        <item x="583"/>
        <item x="293"/>
        <item x="70"/>
        <item x="535"/>
        <item x="455"/>
        <item x="90"/>
        <item x="404"/>
        <item x="502"/>
        <item x="267"/>
        <item x="537"/>
        <item x="120"/>
        <item x="208"/>
        <item x="443"/>
        <item x="71"/>
        <item x="281"/>
        <item x="76"/>
        <item x="110"/>
        <item x="505"/>
        <item x="141"/>
        <item x="134"/>
        <item x="17"/>
        <item x="97"/>
        <item x="343"/>
        <item x="54"/>
        <item x="550"/>
        <item x="463"/>
        <item x="368"/>
        <item x="28"/>
        <item x="52"/>
        <item x="100"/>
        <item x="563"/>
        <item x="86"/>
        <item x="93"/>
        <item x="210"/>
        <item x="410"/>
        <item x="551"/>
        <item x="48"/>
        <item x="276"/>
        <item x="313"/>
        <item x="351"/>
        <item x="222"/>
        <item x="69"/>
        <item x="519"/>
        <item x="177"/>
        <item x="232"/>
        <item x="484"/>
        <item x="393"/>
        <item x="73"/>
        <item x="109"/>
        <item x="381"/>
        <item x="305"/>
        <item x="290"/>
        <item x="391"/>
        <item x="487"/>
        <item x="578"/>
        <item x="409"/>
        <item x="388"/>
        <item x="160"/>
        <item x="167"/>
        <item x="165"/>
        <item x="101"/>
        <item x="202"/>
        <item x="303"/>
        <item x="292"/>
        <item x="26"/>
        <item x="536"/>
        <item x="0"/>
        <item x="377"/>
        <item x="392"/>
        <item x="425"/>
        <item x="337"/>
        <item x="91"/>
        <item x="124"/>
        <item x="207"/>
        <item x="458"/>
        <item x="465"/>
        <item x="257"/>
        <item x="546"/>
        <item x="398"/>
        <item x="518"/>
        <item x="95"/>
        <item x="531"/>
        <item x="389"/>
        <item x="287"/>
        <item x="5"/>
        <item x="24"/>
        <item x="115"/>
        <item x="513"/>
        <item x="130"/>
        <item x="547"/>
        <item x="566"/>
        <item x="413"/>
        <item x="575"/>
        <item x="574"/>
        <item x="9"/>
        <item x="249"/>
        <item x="53"/>
        <item x="22"/>
        <item x="442"/>
        <item x="128"/>
        <item x="212"/>
        <item x="499"/>
        <item x="348"/>
        <item x="304"/>
        <item x="99"/>
        <item x="107"/>
        <item x="19"/>
        <item x="498"/>
        <item x="540"/>
        <item x="244"/>
        <item x="122"/>
        <item x="577"/>
        <item x="259"/>
        <item x="187"/>
        <item x="168"/>
        <item x="40"/>
        <item x="479"/>
        <item x="224"/>
        <item x="339"/>
        <item x="571"/>
        <item x="475"/>
        <item x="188"/>
        <item x="558"/>
        <item x="372"/>
        <item x="219"/>
        <item x="32"/>
        <item x="588"/>
        <item x="18"/>
        <item x="576"/>
        <item x="471"/>
        <item x="264"/>
        <item x="203"/>
        <item x="459"/>
        <item x="495"/>
        <item x="184"/>
        <item x="490"/>
        <item x="123"/>
        <item x="539"/>
        <item x="379"/>
        <item x="405"/>
        <item x="301"/>
        <item x="285"/>
        <item x="152"/>
        <item x="559"/>
        <item x="266"/>
        <item x="374"/>
        <item x="491"/>
        <item x="7"/>
        <item x="589"/>
        <item x="25"/>
        <item x="85"/>
        <item x="512"/>
        <item x="29"/>
        <item x="522"/>
        <item x="319"/>
        <item x="338"/>
        <item x="206"/>
        <item x="225"/>
        <item x="591"/>
        <item x="418"/>
        <item x="538"/>
        <item x="371"/>
        <item x="361"/>
        <item x="74"/>
        <item x="586"/>
        <item x="353"/>
        <item x="231"/>
        <item x="274"/>
        <item x="51"/>
        <item x="66"/>
        <item x="173"/>
        <item x="347"/>
        <item x="299"/>
        <item x="407"/>
        <item x="542"/>
        <item x="534"/>
        <item x="230"/>
        <item x="65"/>
        <item x="10"/>
        <item x="169"/>
        <item x="155"/>
        <item x="483"/>
        <item x="174"/>
        <item x="191"/>
        <item x="514"/>
        <item x="291"/>
        <item x="273"/>
        <item x="477"/>
        <item x="562"/>
        <item x="327"/>
        <item x="488"/>
        <item x="403"/>
        <item x="78"/>
        <item x="396"/>
        <item x="435"/>
        <item x="136"/>
        <item x="62"/>
        <item x="288"/>
        <item x="280"/>
        <item x="3"/>
        <item x="154"/>
        <item x="131"/>
        <item x="197"/>
        <item x="145"/>
        <item x="121"/>
        <item x="437"/>
        <item x="417"/>
        <item x="362"/>
        <item x="492"/>
        <item x="193"/>
        <item x="137"/>
        <item x="271"/>
        <item x="448"/>
        <item x="422"/>
        <item x="223"/>
        <item x="462"/>
        <item x="554"/>
        <item x="142"/>
        <item x="431"/>
        <item x="190"/>
        <item x="221"/>
        <item x="98"/>
        <item x="45"/>
        <item x="432"/>
        <item x="402"/>
        <item x="163"/>
        <item x="440"/>
        <item x="166"/>
        <item x="182"/>
        <item x="587"/>
        <item x="397"/>
        <item x="253"/>
        <item x="593"/>
        <item x="474"/>
        <item x="297"/>
        <item x="92"/>
        <item x="581"/>
        <item x="162"/>
        <item x="346"/>
        <item x="138"/>
        <item x="228"/>
        <item x="485"/>
        <item x="21"/>
        <item x="284"/>
        <item x="308"/>
        <item x="147"/>
        <item x="315"/>
        <item x="360"/>
        <item x="248"/>
        <item x="582"/>
        <item x="309"/>
        <item x="227"/>
        <item x="56"/>
        <item x="262"/>
        <item x="573"/>
        <item x="580"/>
        <item x="494"/>
        <item x="420"/>
        <item x="310"/>
        <item x="186"/>
        <item x="146"/>
        <item x="238"/>
        <item x="133"/>
        <item x="452"/>
        <item x="60"/>
        <item x="16"/>
        <item x="527"/>
        <item x="31"/>
        <item x="510"/>
        <item x="411"/>
        <item x="156"/>
        <item x="342"/>
        <item x="334"/>
        <item x="300"/>
        <item x="365"/>
        <item x="467"/>
        <item x="544"/>
        <item x="429"/>
        <item x="148"/>
        <item x="332"/>
        <item x="226"/>
        <item x="153"/>
        <item x="336"/>
        <item x="370"/>
        <item x="585"/>
        <item x="247"/>
        <item x="399"/>
        <item x="473"/>
        <item x="242"/>
        <item x="50"/>
        <item x="23"/>
        <item x="444"/>
        <item x="126"/>
        <item x="367"/>
        <item x="185"/>
        <item x="438"/>
        <item x="201"/>
        <item x="214"/>
        <item x="49"/>
        <item x="478"/>
        <item x="441"/>
        <item x="64"/>
        <item x="579"/>
        <item x="172"/>
        <item x="234"/>
        <item x="34"/>
        <item x="72"/>
        <item x="104"/>
        <item x="511"/>
        <item x="555"/>
        <item x="46"/>
        <item x="446"/>
        <item x="509"/>
        <item x="584"/>
        <item x="205"/>
        <item x="33"/>
        <item x="269"/>
        <item x="35"/>
        <item x="181"/>
        <item x="250"/>
        <item x="215"/>
        <item x="272"/>
        <item x="524"/>
        <item x="261"/>
        <item x="356"/>
        <item x="466"/>
        <item x="482"/>
        <item x="529"/>
        <item x="324"/>
        <item x="105"/>
        <item x="457"/>
        <item x="433"/>
        <item x="114"/>
        <item x="209"/>
        <item x="427"/>
        <item x="103"/>
        <item x="79"/>
        <item x="489"/>
        <item x="355"/>
        <item x="412"/>
        <item x="430"/>
        <item x="294"/>
        <item x="357"/>
        <item x="504"/>
        <item x="213"/>
        <item x="453"/>
        <item x="523"/>
        <item x="108"/>
        <item x="265"/>
        <item x="384"/>
        <item x="506"/>
        <item x="94"/>
        <item x="373"/>
        <item x="312"/>
        <item x="307"/>
        <item x="331"/>
        <item x="366"/>
        <item x="13"/>
        <item x="240"/>
        <item x="325"/>
        <item x="359"/>
        <item x="556"/>
        <item x="526"/>
        <item x="58"/>
        <item x="263"/>
        <item x="96"/>
        <item x="426"/>
        <item x="528"/>
        <item x="80"/>
        <item x="298"/>
        <item x="57"/>
        <item x="557"/>
        <item x="192"/>
        <item x="380"/>
        <item x="67"/>
        <item x="216"/>
        <item x="106"/>
        <item x="553"/>
        <item x="159"/>
        <item x="235"/>
        <item x="394"/>
        <item x="55"/>
        <item x="161"/>
        <item x="139"/>
        <item x="278"/>
        <item x="268"/>
        <item x="376"/>
        <item x="572"/>
        <item x="199"/>
        <item x="295"/>
        <item x="170"/>
        <item x="211"/>
        <item x="486"/>
        <item x="8"/>
        <item x="363"/>
        <item x="68"/>
        <item x="386"/>
        <item x="132"/>
        <item x="245"/>
        <item x="113"/>
        <item x="175"/>
        <item x="11"/>
        <item x="44"/>
        <item x="564"/>
        <item x="328"/>
        <item x="189"/>
        <item x="237"/>
        <item x="198"/>
        <item x="375"/>
        <item x="341"/>
        <item x="354"/>
        <item x="470"/>
        <item x="112"/>
        <item x="196"/>
        <item x="416"/>
        <item x="590"/>
        <item x="378"/>
        <item x="464"/>
        <item x="358"/>
        <item x="176"/>
        <item x="592"/>
        <item x="89"/>
        <item x="118"/>
        <item x="275"/>
        <item x="217"/>
        <item x="283"/>
        <item x="317"/>
        <item x="256"/>
        <item x="260"/>
        <item x="352"/>
        <item x="229"/>
        <item x="116"/>
        <item x="320"/>
        <item x="481"/>
        <item x="521"/>
        <item x="2"/>
        <item t="default"/>
      </items>
    </pivotField>
    <pivotField showAll="0"/>
    <pivotField showAll="0"/>
    <pivotField showAll="0"/>
    <pivotField showAll="0"/>
  </pivotFields>
  <rowFields count="1">
    <field x="5"/>
  </rowFields>
  <rowItems count="17">
    <i>
      <x/>
    </i>
    <i>
      <x v="1"/>
    </i>
    <i>
      <x v="2"/>
    </i>
    <i>
      <x v="3"/>
    </i>
    <i>
      <x v="4"/>
    </i>
    <i>
      <x v="5"/>
    </i>
    <i>
      <x v="6"/>
    </i>
    <i>
      <x v="7"/>
    </i>
    <i>
      <x v="8"/>
    </i>
    <i>
      <x v="9"/>
    </i>
    <i>
      <x v="10"/>
    </i>
    <i>
      <x v="11"/>
    </i>
    <i>
      <x v="12"/>
    </i>
    <i>
      <x v="13"/>
    </i>
    <i>
      <x v="14"/>
    </i>
    <i>
      <x v="15"/>
    </i>
    <i t="grand">
      <x/>
    </i>
  </rowItems>
  <colFields count="1">
    <field x="4"/>
  </colFields>
  <colItems count="3">
    <i>
      <x/>
    </i>
    <i>
      <x v="1"/>
    </i>
    <i t="grand">
      <x/>
    </i>
  </colItems>
  <dataFields count="1">
    <dataField name="Sum of amount" fld="6"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6D6587-9A0A-4678-9480-1B00EB47193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7:S45" firstHeaderRow="1" firstDataRow="2" firstDataCol="1"/>
  <pivotFields count="13">
    <pivotField showAll="0"/>
    <pivotField showAll="0"/>
    <pivotField showAll="0"/>
    <pivotField showAll="0">
      <items count="571">
        <item x="3"/>
        <item x="188"/>
        <item x="415"/>
        <item x="149"/>
        <item x="395"/>
        <item x="283"/>
        <item x="281"/>
        <item x="268"/>
        <item x="328"/>
        <item x="306"/>
        <item x="521"/>
        <item x="119"/>
        <item x="20"/>
        <item x="369"/>
        <item x="228"/>
        <item x="435"/>
        <item x="491"/>
        <item x="199"/>
        <item x="37"/>
        <item x="405"/>
        <item x="379"/>
        <item x="17"/>
        <item x="249"/>
        <item x="453"/>
        <item x="158"/>
        <item x="196"/>
        <item x="246"/>
        <item x="182"/>
        <item x="142"/>
        <item x="377"/>
        <item x="163"/>
        <item x="422"/>
        <item x="526"/>
        <item x="569"/>
        <item x="250"/>
        <item x="314"/>
        <item x="171"/>
        <item x="423"/>
        <item x="442"/>
        <item x="560"/>
        <item x="39"/>
        <item x="11"/>
        <item x="243"/>
        <item x="522"/>
        <item x="321"/>
        <item x="134"/>
        <item x="120"/>
        <item x="566"/>
        <item x="31"/>
        <item x="153"/>
        <item x="298"/>
        <item x="289"/>
        <item x="343"/>
        <item x="29"/>
        <item x="496"/>
        <item x="441"/>
        <item x="433"/>
        <item x="345"/>
        <item x="401"/>
        <item x="505"/>
        <item x="115"/>
        <item x="117"/>
        <item x="567"/>
        <item x="512"/>
        <item x="131"/>
        <item x="101"/>
        <item x="265"/>
        <item x="304"/>
        <item x="44"/>
        <item x="256"/>
        <item x="241"/>
        <item x="270"/>
        <item x="513"/>
        <item x="129"/>
        <item x="543"/>
        <item x="176"/>
        <item x="469"/>
        <item x="187"/>
        <item x="87"/>
        <item x="294"/>
        <item x="190"/>
        <item x="471"/>
        <item x="362"/>
        <item x="239"/>
        <item x="285"/>
        <item x="264"/>
        <item x="167"/>
        <item x="452"/>
        <item x="562"/>
        <item x="420"/>
        <item x="446"/>
        <item x="122"/>
        <item x="218"/>
        <item x="456"/>
        <item x="21"/>
        <item x="185"/>
        <item x="376"/>
        <item x="280"/>
        <item x="488"/>
        <item x="152"/>
        <item x="35"/>
        <item x="191"/>
        <item x="357"/>
        <item x="86"/>
        <item x="52"/>
        <item x="63"/>
        <item x="48"/>
        <item x="344"/>
        <item x="355"/>
        <item x="208"/>
        <item x="139"/>
        <item x="216"/>
        <item x="132"/>
        <item x="263"/>
        <item x="68"/>
        <item x="220"/>
        <item x="492"/>
        <item x="74"/>
        <item x="409"/>
        <item x="154"/>
        <item x="506"/>
        <item x="128"/>
        <item x="511"/>
        <item x="267"/>
        <item x="113"/>
        <item x="136"/>
        <item x="143"/>
        <item x="169"/>
        <item x="472"/>
        <item x="459"/>
        <item x="83"/>
        <item x="73"/>
        <item x="66"/>
        <item x="242"/>
        <item x="269"/>
        <item x="27"/>
        <item x="262"/>
        <item x="333"/>
        <item x="554"/>
        <item x="427"/>
        <item x="166"/>
        <item x="347"/>
        <item x="551"/>
        <item x="428"/>
        <item x="25"/>
        <item x="75"/>
        <item x="259"/>
        <item x="499"/>
        <item x="346"/>
        <item x="194"/>
        <item x="352"/>
        <item x="541"/>
        <item x="373"/>
        <item x="470"/>
        <item x="368"/>
        <item x="402"/>
        <item x="130"/>
        <item x="501"/>
        <item x="561"/>
        <item x="175"/>
        <item x="13"/>
        <item x="47"/>
        <item x="487"/>
        <item x="444"/>
        <item x="440"/>
        <item x="536"/>
        <item x="276"/>
        <item x="108"/>
        <item x="225"/>
        <item x="202"/>
        <item x="146"/>
        <item x="214"/>
        <item x="348"/>
        <item x="10"/>
        <item x="61"/>
        <item x="55"/>
        <item x="156"/>
        <item x="514"/>
        <item x="417"/>
        <item x="410"/>
        <item x="557"/>
        <item x="458"/>
        <item x="380"/>
        <item x="497"/>
        <item x="1"/>
        <item x="384"/>
        <item x="258"/>
        <item x="212"/>
        <item x="326"/>
        <item x="207"/>
        <item x="251"/>
        <item x="310"/>
        <item x="502"/>
        <item x="41"/>
        <item x="400"/>
        <item x="454"/>
        <item x="407"/>
        <item x="484"/>
        <item x="503"/>
        <item x="104"/>
        <item x="247"/>
        <item x="95"/>
        <item x="317"/>
        <item x="396"/>
        <item x="125"/>
        <item x="105"/>
        <item x="12"/>
        <item x="515"/>
        <item x="480"/>
        <item x="550"/>
        <item x="286"/>
        <item x="449"/>
        <item x="209"/>
        <item x="226"/>
        <item x="416"/>
        <item x="299"/>
        <item x="275"/>
        <item x="200"/>
        <item x="233"/>
        <item x="544"/>
        <item x="464"/>
        <item x="445"/>
        <item x="467"/>
        <item x="325"/>
        <item x="312"/>
        <item x="334"/>
        <item x="385"/>
        <item x="354"/>
        <item x="316"/>
        <item x="91"/>
        <item x="436"/>
        <item x="6"/>
        <item x="257"/>
        <item x="308"/>
        <item x="252"/>
        <item x="112"/>
        <item x="533"/>
        <item x="412"/>
        <item x="219"/>
        <item x="419"/>
        <item x="516"/>
        <item x="255"/>
        <item x="519"/>
        <item x="392"/>
        <item x="80"/>
        <item x="121"/>
        <item x="351"/>
        <item x="426"/>
        <item x="213"/>
        <item x="498"/>
        <item x="406"/>
        <item x="28"/>
        <item x="437"/>
        <item x="211"/>
        <item x="455"/>
        <item x="339"/>
        <item x="232"/>
        <item x="500"/>
        <item x="4"/>
        <item x="468"/>
        <item x="450"/>
        <item x="356"/>
        <item x="305"/>
        <item x="353"/>
        <item x="429"/>
        <item x="137"/>
        <item x="389"/>
        <item x="535"/>
        <item x="336"/>
        <item x="235"/>
        <item x="335"/>
        <item x="563"/>
        <item x="206"/>
        <item x="229"/>
        <item x="164"/>
        <item x="525"/>
        <item x="284"/>
        <item x="361"/>
        <item x="67"/>
        <item x="546"/>
        <item x="106"/>
        <item x="34"/>
        <item x="178"/>
        <item x="365"/>
        <item x="151"/>
        <item x="366"/>
        <item x="532"/>
        <item x="157"/>
        <item x="30"/>
        <item x="311"/>
        <item x="99"/>
        <item x="234"/>
        <item x="545"/>
        <item x="282"/>
        <item x="495"/>
        <item x="118"/>
        <item x="411"/>
        <item x="23"/>
        <item x="177"/>
        <item x="534"/>
        <item x="313"/>
        <item x="111"/>
        <item x="79"/>
        <item x="457"/>
        <item x="548"/>
        <item x="485"/>
        <item x="244"/>
        <item x="33"/>
        <item x="19"/>
        <item x="203"/>
        <item x="375"/>
        <item x="293"/>
        <item x="266"/>
        <item x="338"/>
        <item x="555"/>
        <item x="451"/>
        <item x="260"/>
        <item x="315"/>
        <item x="277"/>
        <item x="332"/>
        <item x="107"/>
        <item x="184"/>
        <item x="145"/>
        <item x="408"/>
        <item x="474"/>
        <item x="127"/>
        <item x="147"/>
        <item x="195"/>
        <item x="49"/>
        <item x="477"/>
        <item x="141"/>
        <item x="319"/>
        <item x="50"/>
        <item x="0"/>
        <item x="279"/>
        <item x="473"/>
        <item x="205"/>
        <item x="110"/>
        <item x="245"/>
        <item x="559"/>
        <item x="296"/>
        <item x="552"/>
        <item x="542"/>
        <item x="224"/>
        <item x="64"/>
        <item x="540"/>
        <item x="150"/>
        <item x="15"/>
        <item x="237"/>
        <item x="479"/>
        <item x="97"/>
        <item x="448"/>
        <item x="517"/>
        <item x="42"/>
        <item x="527"/>
        <item x="223"/>
        <item x="378"/>
        <item x="161"/>
        <item x="71"/>
        <item x="85"/>
        <item x="290"/>
        <item x="460"/>
        <item x="295"/>
        <item x="309"/>
        <item x="509"/>
        <item x="300"/>
        <item x="349"/>
        <item x="507"/>
        <item x="510"/>
        <item x="493"/>
        <item x="539"/>
        <item x="414"/>
        <item x="399"/>
        <item x="165"/>
        <item x="483"/>
        <item x="189"/>
        <item x="43"/>
        <item x="547"/>
        <item x="432"/>
        <item x="46"/>
        <item x="77"/>
        <item x="14"/>
        <item x="222"/>
        <item x="116"/>
        <item x="253"/>
        <item x="272"/>
        <item x="425"/>
        <item x="358"/>
        <item x="462"/>
        <item x="518"/>
        <item x="382"/>
        <item x="40"/>
        <item x="394"/>
        <item x="475"/>
        <item x="331"/>
        <item x="9"/>
        <item x="302"/>
        <item x="240"/>
        <item x="291"/>
        <item x="65"/>
        <item x="413"/>
        <item x="403"/>
        <item x="227"/>
        <item x="231"/>
        <item x="397"/>
        <item x="489"/>
        <item x="556"/>
        <item x="38"/>
        <item x="271"/>
        <item x="388"/>
        <item x="372"/>
        <item x="478"/>
        <item x="170"/>
        <item x="329"/>
        <item x="393"/>
        <item x="374"/>
        <item x="303"/>
        <item x="421"/>
        <item x="476"/>
        <item x="434"/>
        <item x="236"/>
        <item x="323"/>
        <item x="390"/>
        <item x="180"/>
        <item x="418"/>
        <item x="504"/>
        <item x="36"/>
        <item x="2"/>
        <item x="463"/>
        <item x="538"/>
        <item x="443"/>
        <item x="370"/>
        <item x="45"/>
        <item x="57"/>
        <item x="59"/>
        <item x="93"/>
        <item x="391"/>
        <item x="564"/>
        <item x="342"/>
        <item x="287"/>
        <item x="341"/>
        <item x="371"/>
        <item x="481"/>
        <item x="524"/>
        <item x="568"/>
        <item x="217"/>
        <item x="192"/>
        <item x="337"/>
        <item x="215"/>
        <item x="398"/>
        <item x="549"/>
        <item x="553"/>
        <item x="62"/>
        <item x="148"/>
        <item x="288"/>
        <item x="8"/>
        <item x="186"/>
        <item x="179"/>
        <item x="360"/>
        <item x="51"/>
        <item x="430"/>
        <item x="530"/>
        <item x="381"/>
        <item x="135"/>
        <item x="173"/>
        <item x="537"/>
        <item x="520"/>
        <item x="168"/>
        <item x="24"/>
        <item x="54"/>
        <item x="89"/>
        <item x="404"/>
        <item x="198"/>
        <item x="174"/>
        <item x="155"/>
        <item x="53"/>
        <item x="327"/>
        <item x="278"/>
        <item x="78"/>
        <item x="386"/>
        <item x="114"/>
        <item x="431"/>
        <item x="273"/>
        <item x="307"/>
        <item x="340"/>
        <item x="102"/>
        <item x="318"/>
        <item x="447"/>
        <item x="210"/>
        <item x="172"/>
        <item x="109"/>
        <item x="193"/>
        <item x="72"/>
        <item x="238"/>
        <item x="60"/>
        <item x="159"/>
        <item x="82"/>
        <item x="531"/>
        <item x="261"/>
        <item x="301"/>
        <item x="138"/>
        <item x="486"/>
        <item x="254"/>
        <item x="482"/>
        <item x="16"/>
        <item x="162"/>
        <item x="466"/>
        <item x="490"/>
        <item x="58"/>
        <item x="330"/>
        <item x="367"/>
        <item x="221"/>
        <item x="32"/>
        <item x="508"/>
        <item x="230"/>
        <item x="56"/>
        <item x="528"/>
        <item x="103"/>
        <item x="363"/>
        <item x="297"/>
        <item x="133"/>
        <item x="324"/>
        <item x="94"/>
        <item x="88"/>
        <item x="69"/>
        <item x="183"/>
        <item x="124"/>
        <item x="76"/>
        <item x="81"/>
        <item x="92"/>
        <item x="292"/>
        <item x="18"/>
        <item x="461"/>
        <item x="144"/>
        <item x="424"/>
        <item x="70"/>
        <item x="96"/>
        <item x="350"/>
        <item x="322"/>
        <item x="494"/>
        <item x="383"/>
        <item x="274"/>
        <item x="181"/>
        <item x="140"/>
        <item x="5"/>
        <item x="123"/>
        <item x="565"/>
        <item x="84"/>
        <item x="438"/>
        <item x="22"/>
        <item x="100"/>
        <item x="439"/>
        <item x="529"/>
        <item x="364"/>
        <item x="558"/>
        <item x="387"/>
        <item x="126"/>
        <item x="320"/>
        <item x="359"/>
        <item x="7"/>
        <item x="197"/>
        <item x="26"/>
        <item x="248"/>
        <item x="523"/>
        <item x="465"/>
        <item x="98"/>
        <item x="160"/>
        <item x="90"/>
        <item x="204"/>
        <item x="201"/>
        <item t="default"/>
      </items>
    </pivotField>
    <pivotField showAll="0">
      <items count="3">
        <item x="0"/>
        <item x="1"/>
        <item t="default"/>
      </items>
    </pivotField>
    <pivotField axis="axisRow" showAll="0">
      <items count="17">
        <item x="13"/>
        <item x="0"/>
        <item x="4"/>
        <item x="3"/>
        <item x="2"/>
        <item x="9"/>
        <item x="10"/>
        <item x="14"/>
        <item x="7"/>
        <item x="15"/>
        <item x="1"/>
        <item x="5"/>
        <item x="11"/>
        <item x="8"/>
        <item x="12"/>
        <item x="6"/>
        <item t="default"/>
      </items>
    </pivotField>
    <pivotField showAll="0"/>
    <pivotField showAll="0"/>
    <pivotField dataField="1" showAll="0">
      <items count="596">
        <item x="507"/>
        <item x="569"/>
        <item x="424"/>
        <item x="330"/>
        <item x="468"/>
        <item x="14"/>
        <item x="43"/>
        <item x="36"/>
        <item x="395"/>
        <item x="233"/>
        <item x="129"/>
        <item x="239"/>
        <item x="302"/>
        <item x="158"/>
        <item x="180"/>
        <item x="164"/>
        <item x="42"/>
        <item x="390"/>
        <item x="387"/>
        <item x="326"/>
        <item x="423"/>
        <item x="83"/>
        <item x="480"/>
        <item x="252"/>
        <item x="195"/>
        <item x="84"/>
        <item x="102"/>
        <item x="349"/>
        <item x="344"/>
        <item x="47"/>
        <item x="541"/>
        <item x="1"/>
        <item x="258"/>
        <item x="316"/>
        <item x="117"/>
        <item x="270"/>
        <item x="419"/>
        <item x="543"/>
        <item x="516"/>
        <item x="289"/>
        <item x="517"/>
        <item x="171"/>
        <item x="533"/>
        <item x="6"/>
        <item x="500"/>
        <item x="508"/>
        <item x="520"/>
        <item x="552"/>
        <item x="61"/>
        <item x="314"/>
        <item x="369"/>
        <item x="12"/>
        <item x="421"/>
        <item x="449"/>
        <item x="149"/>
        <item x="329"/>
        <item x="282"/>
        <item x="255"/>
        <item x="77"/>
        <item x="251"/>
        <item x="445"/>
        <item x="548"/>
        <item x="408"/>
        <item x="279"/>
        <item x="150"/>
        <item x="82"/>
        <item x="204"/>
        <item x="41"/>
        <item x="434"/>
        <item x="406"/>
        <item x="321"/>
        <item x="382"/>
        <item x="414"/>
        <item x="63"/>
        <item x="503"/>
        <item x="400"/>
        <item x="450"/>
        <item x="37"/>
        <item x="565"/>
        <item x="127"/>
        <item x="364"/>
        <item x="568"/>
        <item x="447"/>
        <item x="30"/>
        <item x="143"/>
        <item x="496"/>
        <item x="383"/>
        <item x="335"/>
        <item x="570"/>
        <item x="140"/>
        <item x="254"/>
        <item x="345"/>
        <item x="306"/>
        <item x="311"/>
        <item x="561"/>
        <item x="401"/>
        <item x="246"/>
        <item x="59"/>
        <item x="472"/>
        <item x="350"/>
        <item x="515"/>
        <item x="439"/>
        <item x="497"/>
        <item x="532"/>
        <item x="75"/>
        <item x="277"/>
        <item x="111"/>
        <item x="454"/>
        <item x="415"/>
        <item x="493"/>
        <item x="501"/>
        <item x="428"/>
        <item x="125"/>
        <item x="322"/>
        <item x="178"/>
        <item x="460"/>
        <item x="318"/>
        <item x="323"/>
        <item x="340"/>
        <item x="451"/>
        <item x="286"/>
        <item x="476"/>
        <item x="218"/>
        <item x="38"/>
        <item x="87"/>
        <item x="183"/>
        <item x="545"/>
        <item x="88"/>
        <item x="241"/>
        <item x="20"/>
        <item x="549"/>
        <item x="39"/>
        <item x="135"/>
        <item x="200"/>
        <item x="530"/>
        <item x="220"/>
        <item x="567"/>
        <item x="243"/>
        <item x="179"/>
        <item x="4"/>
        <item x="236"/>
        <item x="436"/>
        <item x="594"/>
        <item x="461"/>
        <item x="194"/>
        <item x="27"/>
        <item x="456"/>
        <item x="144"/>
        <item x="333"/>
        <item x="15"/>
        <item x="296"/>
        <item x="525"/>
        <item x="157"/>
        <item x="469"/>
        <item x="119"/>
        <item x="560"/>
        <item x="81"/>
        <item x="385"/>
        <item x="151"/>
        <item x="583"/>
        <item x="293"/>
        <item x="70"/>
        <item x="535"/>
        <item x="455"/>
        <item x="90"/>
        <item x="404"/>
        <item x="502"/>
        <item x="267"/>
        <item x="537"/>
        <item x="120"/>
        <item x="208"/>
        <item x="443"/>
        <item x="71"/>
        <item x="281"/>
        <item x="76"/>
        <item x="110"/>
        <item x="505"/>
        <item x="141"/>
        <item x="134"/>
        <item x="17"/>
        <item x="97"/>
        <item x="343"/>
        <item x="54"/>
        <item x="550"/>
        <item x="463"/>
        <item x="368"/>
        <item x="28"/>
        <item x="52"/>
        <item x="100"/>
        <item x="563"/>
        <item x="86"/>
        <item x="93"/>
        <item x="210"/>
        <item x="410"/>
        <item x="551"/>
        <item x="48"/>
        <item x="276"/>
        <item x="313"/>
        <item x="351"/>
        <item x="222"/>
        <item x="69"/>
        <item x="519"/>
        <item x="177"/>
        <item x="232"/>
        <item x="484"/>
        <item x="393"/>
        <item x="73"/>
        <item x="109"/>
        <item x="381"/>
        <item x="305"/>
        <item x="290"/>
        <item x="391"/>
        <item x="487"/>
        <item x="578"/>
        <item x="409"/>
        <item x="388"/>
        <item x="160"/>
        <item x="167"/>
        <item x="165"/>
        <item x="101"/>
        <item x="202"/>
        <item x="303"/>
        <item x="292"/>
        <item x="26"/>
        <item x="536"/>
        <item x="0"/>
        <item x="377"/>
        <item x="392"/>
        <item x="425"/>
        <item x="337"/>
        <item x="91"/>
        <item x="124"/>
        <item x="207"/>
        <item x="458"/>
        <item x="465"/>
        <item x="257"/>
        <item x="546"/>
        <item x="398"/>
        <item x="518"/>
        <item x="95"/>
        <item x="531"/>
        <item x="389"/>
        <item x="287"/>
        <item x="5"/>
        <item x="24"/>
        <item x="115"/>
        <item x="513"/>
        <item x="130"/>
        <item x="547"/>
        <item x="566"/>
        <item x="413"/>
        <item x="575"/>
        <item x="574"/>
        <item x="9"/>
        <item x="249"/>
        <item x="53"/>
        <item x="22"/>
        <item x="442"/>
        <item x="128"/>
        <item x="212"/>
        <item x="499"/>
        <item x="348"/>
        <item x="304"/>
        <item x="99"/>
        <item x="107"/>
        <item x="19"/>
        <item x="498"/>
        <item x="540"/>
        <item x="244"/>
        <item x="122"/>
        <item x="577"/>
        <item x="259"/>
        <item x="187"/>
        <item x="168"/>
        <item x="40"/>
        <item x="479"/>
        <item x="224"/>
        <item x="339"/>
        <item x="571"/>
        <item x="475"/>
        <item x="188"/>
        <item x="558"/>
        <item x="372"/>
        <item x="219"/>
        <item x="32"/>
        <item x="588"/>
        <item x="18"/>
        <item x="576"/>
        <item x="471"/>
        <item x="264"/>
        <item x="203"/>
        <item x="459"/>
        <item x="495"/>
        <item x="184"/>
        <item x="490"/>
        <item x="123"/>
        <item x="539"/>
        <item x="379"/>
        <item x="405"/>
        <item x="301"/>
        <item x="285"/>
        <item x="152"/>
        <item x="559"/>
        <item x="266"/>
        <item x="374"/>
        <item x="491"/>
        <item x="7"/>
        <item x="589"/>
        <item x="25"/>
        <item x="85"/>
        <item x="512"/>
        <item x="29"/>
        <item x="522"/>
        <item x="319"/>
        <item x="338"/>
        <item x="206"/>
        <item x="225"/>
        <item x="591"/>
        <item x="418"/>
        <item x="538"/>
        <item x="371"/>
        <item x="361"/>
        <item x="74"/>
        <item x="586"/>
        <item x="353"/>
        <item x="231"/>
        <item x="274"/>
        <item x="51"/>
        <item x="66"/>
        <item x="173"/>
        <item x="347"/>
        <item x="299"/>
        <item x="407"/>
        <item x="542"/>
        <item x="534"/>
        <item x="230"/>
        <item x="65"/>
        <item x="10"/>
        <item x="169"/>
        <item x="155"/>
        <item x="483"/>
        <item x="174"/>
        <item x="191"/>
        <item x="514"/>
        <item x="291"/>
        <item x="273"/>
        <item x="477"/>
        <item x="562"/>
        <item x="327"/>
        <item x="488"/>
        <item x="403"/>
        <item x="78"/>
        <item x="396"/>
        <item x="435"/>
        <item x="136"/>
        <item x="62"/>
        <item x="288"/>
        <item x="280"/>
        <item x="3"/>
        <item x="154"/>
        <item x="131"/>
        <item x="197"/>
        <item x="145"/>
        <item x="121"/>
        <item x="437"/>
        <item x="417"/>
        <item x="362"/>
        <item x="492"/>
        <item x="193"/>
        <item x="137"/>
        <item x="271"/>
        <item x="448"/>
        <item x="422"/>
        <item x="223"/>
        <item x="462"/>
        <item x="554"/>
        <item x="142"/>
        <item x="431"/>
        <item x="190"/>
        <item x="221"/>
        <item x="98"/>
        <item x="45"/>
        <item x="432"/>
        <item x="402"/>
        <item x="163"/>
        <item x="440"/>
        <item x="166"/>
        <item x="182"/>
        <item x="587"/>
        <item x="397"/>
        <item x="253"/>
        <item x="593"/>
        <item x="474"/>
        <item x="297"/>
        <item x="92"/>
        <item x="581"/>
        <item x="162"/>
        <item x="346"/>
        <item x="138"/>
        <item x="228"/>
        <item x="485"/>
        <item x="21"/>
        <item x="284"/>
        <item x="308"/>
        <item x="147"/>
        <item x="315"/>
        <item x="360"/>
        <item x="248"/>
        <item x="582"/>
        <item x="309"/>
        <item x="227"/>
        <item x="56"/>
        <item x="262"/>
        <item x="573"/>
        <item x="580"/>
        <item x="494"/>
        <item x="420"/>
        <item x="310"/>
        <item x="186"/>
        <item x="146"/>
        <item x="238"/>
        <item x="133"/>
        <item x="452"/>
        <item x="60"/>
        <item x="16"/>
        <item x="527"/>
        <item x="31"/>
        <item x="510"/>
        <item x="411"/>
        <item x="156"/>
        <item x="342"/>
        <item x="334"/>
        <item x="300"/>
        <item x="365"/>
        <item x="467"/>
        <item x="544"/>
        <item x="429"/>
        <item x="148"/>
        <item x="332"/>
        <item x="226"/>
        <item x="153"/>
        <item x="336"/>
        <item x="370"/>
        <item x="585"/>
        <item x="247"/>
        <item x="399"/>
        <item x="473"/>
        <item x="242"/>
        <item x="50"/>
        <item x="23"/>
        <item x="444"/>
        <item x="126"/>
        <item x="367"/>
        <item x="185"/>
        <item x="438"/>
        <item x="201"/>
        <item x="214"/>
        <item x="49"/>
        <item x="478"/>
        <item x="441"/>
        <item x="64"/>
        <item x="579"/>
        <item x="172"/>
        <item x="234"/>
        <item x="34"/>
        <item x="72"/>
        <item x="104"/>
        <item x="511"/>
        <item x="555"/>
        <item x="46"/>
        <item x="446"/>
        <item x="509"/>
        <item x="584"/>
        <item x="205"/>
        <item x="33"/>
        <item x="269"/>
        <item x="35"/>
        <item x="181"/>
        <item x="250"/>
        <item x="215"/>
        <item x="272"/>
        <item x="524"/>
        <item x="261"/>
        <item x="356"/>
        <item x="466"/>
        <item x="482"/>
        <item x="529"/>
        <item x="324"/>
        <item x="105"/>
        <item x="457"/>
        <item x="433"/>
        <item x="114"/>
        <item x="209"/>
        <item x="427"/>
        <item x="103"/>
        <item x="79"/>
        <item x="489"/>
        <item x="355"/>
        <item x="412"/>
        <item x="430"/>
        <item x="294"/>
        <item x="357"/>
        <item x="504"/>
        <item x="213"/>
        <item x="453"/>
        <item x="523"/>
        <item x="108"/>
        <item x="265"/>
        <item x="384"/>
        <item x="506"/>
        <item x="94"/>
        <item x="373"/>
        <item x="312"/>
        <item x="307"/>
        <item x="331"/>
        <item x="366"/>
        <item x="13"/>
        <item x="240"/>
        <item x="325"/>
        <item x="359"/>
        <item x="556"/>
        <item x="526"/>
        <item x="58"/>
        <item x="263"/>
        <item x="96"/>
        <item x="426"/>
        <item x="528"/>
        <item x="80"/>
        <item x="298"/>
        <item x="57"/>
        <item x="557"/>
        <item x="192"/>
        <item x="380"/>
        <item x="67"/>
        <item x="216"/>
        <item x="106"/>
        <item x="553"/>
        <item x="159"/>
        <item x="235"/>
        <item x="394"/>
        <item x="55"/>
        <item x="161"/>
        <item x="139"/>
        <item x="278"/>
        <item x="268"/>
        <item x="376"/>
        <item x="572"/>
        <item x="199"/>
        <item x="295"/>
        <item x="170"/>
        <item x="211"/>
        <item x="486"/>
        <item x="8"/>
        <item x="363"/>
        <item x="68"/>
        <item x="386"/>
        <item x="132"/>
        <item x="245"/>
        <item x="113"/>
        <item x="175"/>
        <item x="11"/>
        <item x="44"/>
        <item x="564"/>
        <item x="328"/>
        <item x="189"/>
        <item x="237"/>
        <item x="198"/>
        <item x="375"/>
        <item x="341"/>
        <item x="354"/>
        <item x="470"/>
        <item x="112"/>
        <item x="196"/>
        <item x="416"/>
        <item x="590"/>
        <item x="378"/>
        <item x="464"/>
        <item x="358"/>
        <item x="176"/>
        <item x="592"/>
        <item x="89"/>
        <item x="118"/>
        <item x="275"/>
        <item x="217"/>
        <item x="283"/>
        <item x="317"/>
        <item x="256"/>
        <item x="260"/>
        <item x="352"/>
        <item x="229"/>
        <item x="116"/>
        <item x="320"/>
        <item x="481"/>
        <item x="521"/>
        <item x="2"/>
        <item t="default"/>
      </items>
    </pivotField>
    <pivotField showAll="0"/>
    <pivotField showAll="0"/>
    <pivotField axis="axisCol" showAll="0">
      <items count="12">
        <item x="0"/>
        <item x="2"/>
        <item x="7"/>
        <item x="6"/>
        <item x="1"/>
        <item x="9"/>
        <item x="5"/>
        <item x="4"/>
        <item x="10"/>
        <item x="3"/>
        <item x="8"/>
        <item t="default"/>
      </items>
    </pivotField>
    <pivotField showAll="0"/>
  </pivotFields>
  <rowFields count="1">
    <field x="5"/>
  </rowFields>
  <rowItems count="17">
    <i>
      <x/>
    </i>
    <i>
      <x v="1"/>
    </i>
    <i>
      <x v="2"/>
    </i>
    <i>
      <x v="3"/>
    </i>
    <i>
      <x v="4"/>
    </i>
    <i>
      <x v="5"/>
    </i>
    <i>
      <x v="6"/>
    </i>
    <i>
      <x v="7"/>
    </i>
    <i>
      <x v="8"/>
    </i>
    <i>
      <x v="9"/>
    </i>
    <i>
      <x v="10"/>
    </i>
    <i>
      <x v="11"/>
    </i>
    <i>
      <x v="12"/>
    </i>
    <i>
      <x v="13"/>
    </i>
    <i>
      <x v="14"/>
    </i>
    <i>
      <x v="15"/>
    </i>
    <i t="grand">
      <x/>
    </i>
  </rowItems>
  <colFields count="1">
    <field x="11"/>
  </colFields>
  <colItems count="12">
    <i>
      <x/>
    </i>
    <i>
      <x v="1"/>
    </i>
    <i>
      <x v="2"/>
    </i>
    <i>
      <x v="3"/>
    </i>
    <i>
      <x v="4"/>
    </i>
    <i>
      <x v="5"/>
    </i>
    <i>
      <x v="6"/>
    </i>
    <i>
      <x v="7"/>
    </i>
    <i>
      <x v="8"/>
    </i>
    <i>
      <x v="9"/>
    </i>
    <i>
      <x v="10"/>
    </i>
    <i t="grand">
      <x/>
    </i>
  </colItems>
  <dataFields count="1">
    <dataField name="Max of Expense only" fld="8" subtotal="max"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BD22EC6-BB7A-4A77-984A-18755C2BC399}" sourceName="Date ">
  <pivotTables>
    <pivotTable tabId="4" name="PivotTable6"/>
    <pivotTable tabId="4" name="PivotTable4"/>
    <pivotTable tabId="4" name="PivotTable7"/>
  </pivotTables>
  <data>
    <tabular pivotCacheId="984424388">
      <items count="570">
        <i x="3" s="1"/>
        <i x="188" s="1"/>
        <i x="415" s="1"/>
        <i x="149" s="1"/>
        <i x="395" s="1"/>
        <i x="283" s="1"/>
        <i x="281" s="1"/>
        <i x="268" s="1"/>
        <i x="328" s="1"/>
        <i x="306" s="1"/>
        <i x="521" s="1"/>
        <i x="119" s="1"/>
        <i x="20" s="1"/>
        <i x="369" s="1"/>
        <i x="228" s="1"/>
        <i x="435" s="1"/>
        <i x="491" s="1"/>
        <i x="199" s="1"/>
        <i x="37" s="1"/>
        <i x="405" s="1"/>
        <i x="379" s="1"/>
        <i x="17" s="1"/>
        <i x="249" s="1"/>
        <i x="453" s="1"/>
        <i x="158" s="1"/>
        <i x="196" s="1"/>
        <i x="246" s="1"/>
        <i x="182" s="1"/>
        <i x="142" s="1"/>
        <i x="377" s="1"/>
        <i x="163" s="1"/>
        <i x="422" s="1"/>
        <i x="526" s="1"/>
        <i x="569" s="1"/>
        <i x="250" s="1"/>
        <i x="314" s="1"/>
        <i x="171" s="1"/>
        <i x="423" s="1"/>
        <i x="442" s="1"/>
        <i x="560" s="1"/>
        <i x="39" s="1"/>
        <i x="11" s="1"/>
        <i x="243" s="1"/>
        <i x="522" s="1"/>
        <i x="321" s="1"/>
        <i x="134" s="1"/>
        <i x="120" s="1"/>
        <i x="566" s="1"/>
        <i x="31" s="1"/>
        <i x="153" s="1"/>
        <i x="298" s="1"/>
        <i x="289" s="1"/>
        <i x="343" s="1"/>
        <i x="29" s="1"/>
        <i x="496" s="1"/>
        <i x="441" s="1"/>
        <i x="433" s="1"/>
        <i x="345" s="1"/>
        <i x="401" s="1"/>
        <i x="505" s="1"/>
        <i x="115" s="1"/>
        <i x="117" s="1"/>
        <i x="567" s="1"/>
        <i x="512" s="1"/>
        <i x="131" s="1"/>
        <i x="101" s="1"/>
        <i x="265" s="1"/>
        <i x="304" s="1"/>
        <i x="44" s="1"/>
        <i x="256" s="1"/>
        <i x="241" s="1"/>
        <i x="270" s="1"/>
        <i x="513" s="1"/>
        <i x="129" s="1"/>
        <i x="543" s="1"/>
        <i x="176" s="1"/>
        <i x="469" s="1"/>
        <i x="187" s="1"/>
        <i x="87" s="1"/>
        <i x="294" s="1"/>
        <i x="190" s="1"/>
        <i x="471" s="1"/>
        <i x="362" s="1"/>
        <i x="239" s="1"/>
        <i x="285" s="1"/>
        <i x="264" s="1"/>
        <i x="167" s="1"/>
        <i x="452" s="1"/>
        <i x="562" s="1"/>
        <i x="420" s="1"/>
        <i x="446" s="1"/>
        <i x="122" s="1"/>
        <i x="218" s="1"/>
        <i x="456" s="1"/>
        <i x="21" s="1"/>
        <i x="185" s="1"/>
        <i x="376" s="1"/>
        <i x="280" s="1"/>
        <i x="488" s="1"/>
        <i x="152" s="1"/>
        <i x="35" s="1"/>
        <i x="191" s="1"/>
        <i x="357" s="1"/>
        <i x="86" s="1"/>
        <i x="52" s="1"/>
        <i x="63" s="1"/>
        <i x="48" s="1"/>
        <i x="344" s="1"/>
        <i x="355" s="1"/>
        <i x="208" s="1"/>
        <i x="139" s="1"/>
        <i x="216" s="1"/>
        <i x="132" s="1"/>
        <i x="263" s="1"/>
        <i x="68" s="1"/>
        <i x="220" s="1"/>
        <i x="492" s="1"/>
        <i x="74" s="1"/>
        <i x="409" s="1"/>
        <i x="154" s="1"/>
        <i x="506" s="1"/>
        <i x="128" s="1"/>
        <i x="511" s="1"/>
        <i x="267" s="1"/>
        <i x="113" s="1"/>
        <i x="136" s="1"/>
        <i x="143" s="1"/>
        <i x="169" s="1"/>
        <i x="472" s="1"/>
        <i x="459" s="1"/>
        <i x="83" s="1"/>
        <i x="73" s="1"/>
        <i x="66" s="1"/>
        <i x="242" s="1"/>
        <i x="269" s="1"/>
        <i x="27" s="1"/>
        <i x="262" s="1"/>
        <i x="333" s="1"/>
        <i x="554" s="1"/>
        <i x="427" s="1"/>
        <i x="166" s="1"/>
        <i x="347" s="1"/>
        <i x="551" s="1"/>
        <i x="428" s="1"/>
        <i x="25" s="1"/>
        <i x="75" s="1"/>
        <i x="259" s="1"/>
        <i x="499" s="1"/>
        <i x="346" s="1"/>
        <i x="194" s="1"/>
        <i x="352" s="1"/>
        <i x="541" s="1"/>
        <i x="373" s="1"/>
        <i x="470" s="1"/>
        <i x="368" s="1"/>
        <i x="402" s="1"/>
        <i x="130" s="1"/>
        <i x="501" s="1"/>
        <i x="561" s="1"/>
        <i x="175" s="1"/>
        <i x="13" s="1"/>
        <i x="47" s="1"/>
        <i x="487" s="1"/>
        <i x="444" s="1"/>
        <i x="440" s="1"/>
        <i x="536" s="1"/>
        <i x="276" s="1"/>
        <i x="108" s="1"/>
        <i x="225" s="1"/>
        <i x="202" s="1"/>
        <i x="146" s="1"/>
        <i x="214" s="1"/>
        <i x="348" s="1"/>
        <i x="10" s="1"/>
        <i x="61" s="1"/>
        <i x="55" s="1"/>
        <i x="156" s="1"/>
        <i x="514" s="1"/>
        <i x="417" s="1"/>
        <i x="410" s="1"/>
        <i x="557" s="1"/>
        <i x="458" s="1"/>
        <i x="380" s="1"/>
        <i x="497" s="1"/>
        <i x="1" s="1"/>
        <i x="384" s="1"/>
        <i x="258" s="1"/>
        <i x="212" s="1"/>
        <i x="326" s="1"/>
        <i x="207" s="1"/>
        <i x="251" s="1"/>
        <i x="310" s="1"/>
        <i x="502" s="1"/>
        <i x="41" s="1"/>
        <i x="400" s="1"/>
        <i x="454" s="1"/>
        <i x="407" s="1"/>
        <i x="484" s="1"/>
        <i x="503" s="1"/>
        <i x="104" s="1"/>
        <i x="247" s="1"/>
        <i x="95" s="1"/>
        <i x="317" s="1"/>
        <i x="396" s="1"/>
        <i x="125" s="1"/>
        <i x="105" s="1"/>
        <i x="12" s="1"/>
        <i x="515" s="1"/>
        <i x="480" s="1"/>
        <i x="550" s="1"/>
        <i x="286" s="1"/>
        <i x="449" s="1"/>
        <i x="209" s="1"/>
        <i x="226" s="1"/>
        <i x="416" s="1"/>
        <i x="299" s="1"/>
        <i x="275" s="1"/>
        <i x="200" s="1"/>
        <i x="233" s="1"/>
        <i x="544" s="1"/>
        <i x="464" s="1"/>
        <i x="445" s="1"/>
        <i x="467" s="1"/>
        <i x="325" s="1"/>
        <i x="312" s="1"/>
        <i x="334" s="1"/>
        <i x="385" s="1"/>
        <i x="354" s="1"/>
        <i x="316" s="1"/>
        <i x="91" s="1"/>
        <i x="436" s="1"/>
        <i x="6" s="1"/>
        <i x="257" s="1"/>
        <i x="308" s="1"/>
        <i x="252" s="1"/>
        <i x="112" s="1"/>
        <i x="533" s="1"/>
        <i x="412" s="1"/>
        <i x="219" s="1"/>
        <i x="419" s="1"/>
        <i x="516" s="1"/>
        <i x="255" s="1"/>
        <i x="519" s="1"/>
        <i x="392" s="1"/>
        <i x="80" s="1"/>
        <i x="121" s="1"/>
        <i x="351" s="1"/>
        <i x="426" s="1"/>
        <i x="213" s="1"/>
        <i x="498" s="1"/>
        <i x="406" s="1"/>
        <i x="28" s="1"/>
        <i x="437" s="1"/>
        <i x="211" s="1"/>
        <i x="455" s="1"/>
        <i x="339" s="1"/>
        <i x="232" s="1"/>
        <i x="500" s="1"/>
        <i x="4" s="1"/>
        <i x="468" s="1"/>
        <i x="450" s="1"/>
        <i x="356" s="1"/>
        <i x="305" s="1"/>
        <i x="353" s="1"/>
        <i x="429" s="1"/>
        <i x="137" s="1"/>
        <i x="389" s="1"/>
        <i x="535" s="1"/>
        <i x="336" s="1"/>
        <i x="235" s="1"/>
        <i x="335" s="1"/>
        <i x="563" s="1"/>
        <i x="206" s="1"/>
        <i x="229" s="1"/>
        <i x="164" s="1"/>
        <i x="525" s="1"/>
        <i x="284" s="1"/>
        <i x="361" s="1"/>
        <i x="67" s="1"/>
        <i x="546" s="1"/>
        <i x="106" s="1"/>
        <i x="34" s="1"/>
        <i x="178" s="1"/>
        <i x="365" s="1"/>
        <i x="151" s="1"/>
        <i x="366" s="1"/>
        <i x="532" s="1"/>
        <i x="157" s="1"/>
        <i x="30" s="1"/>
        <i x="311" s="1"/>
        <i x="99" s="1"/>
        <i x="234" s="1"/>
        <i x="545" s="1"/>
        <i x="282" s="1"/>
        <i x="495" s="1"/>
        <i x="118" s="1"/>
        <i x="411" s="1"/>
        <i x="23" s="1"/>
        <i x="177" s="1"/>
        <i x="534" s="1"/>
        <i x="313" s="1"/>
        <i x="111" s="1"/>
        <i x="79" s="1"/>
        <i x="457" s="1"/>
        <i x="548" s="1"/>
        <i x="485" s="1"/>
        <i x="244" s="1"/>
        <i x="33" s="1"/>
        <i x="19" s="1"/>
        <i x="203" s="1"/>
        <i x="375" s="1"/>
        <i x="293" s="1"/>
        <i x="266" s="1"/>
        <i x="338" s="1"/>
        <i x="555" s="1"/>
        <i x="451" s="1"/>
        <i x="260" s="1"/>
        <i x="315" s="1"/>
        <i x="277" s="1"/>
        <i x="332" s="1"/>
        <i x="107" s="1"/>
        <i x="184" s="1"/>
        <i x="145" s="1"/>
        <i x="408" s="1"/>
        <i x="474" s="1"/>
        <i x="127" s="1"/>
        <i x="147" s="1"/>
        <i x="195" s="1"/>
        <i x="49" s="1"/>
        <i x="477" s="1"/>
        <i x="141" s="1"/>
        <i x="319" s="1"/>
        <i x="50" s="1"/>
        <i x="0" s="1"/>
        <i x="279" s="1"/>
        <i x="473" s="1"/>
        <i x="205" s="1"/>
        <i x="110" s="1"/>
        <i x="245" s="1"/>
        <i x="559" s="1"/>
        <i x="296" s="1"/>
        <i x="552" s="1"/>
        <i x="542" s="1"/>
        <i x="224" s="1"/>
        <i x="64" s="1"/>
        <i x="540" s="1"/>
        <i x="150" s="1"/>
        <i x="15" s="1"/>
        <i x="237" s="1"/>
        <i x="479" s="1"/>
        <i x="97" s="1"/>
        <i x="448" s="1"/>
        <i x="517" s="1"/>
        <i x="42" s="1"/>
        <i x="527" s="1"/>
        <i x="223" s="1"/>
        <i x="378" s="1"/>
        <i x="161" s="1"/>
        <i x="71" s="1"/>
        <i x="85" s="1"/>
        <i x="290" s="1"/>
        <i x="460" s="1"/>
        <i x="295" s="1"/>
        <i x="309" s="1"/>
        <i x="509" s="1"/>
        <i x="300" s="1"/>
        <i x="349" s="1"/>
        <i x="507" s="1"/>
        <i x="510" s="1"/>
        <i x="493" s="1"/>
        <i x="539" s="1"/>
        <i x="414" s="1"/>
        <i x="399" s="1"/>
        <i x="165" s="1"/>
        <i x="483" s="1"/>
        <i x="189" s="1"/>
        <i x="43" s="1"/>
        <i x="547" s="1"/>
        <i x="432" s="1"/>
        <i x="46" s="1"/>
        <i x="77" s="1"/>
        <i x="14" s="1"/>
        <i x="222" s="1"/>
        <i x="116" s="1"/>
        <i x="253" s="1"/>
        <i x="272" s="1"/>
        <i x="425" s="1"/>
        <i x="358" s="1"/>
        <i x="462" s="1"/>
        <i x="518" s="1"/>
        <i x="382" s="1"/>
        <i x="40" s="1"/>
        <i x="394" s="1"/>
        <i x="475" s="1"/>
        <i x="331" s="1"/>
        <i x="9" s="1"/>
        <i x="302" s="1"/>
        <i x="240" s="1"/>
        <i x="291" s="1"/>
        <i x="65" s="1"/>
        <i x="413" s="1"/>
        <i x="403" s="1"/>
        <i x="227" s="1"/>
        <i x="231" s="1"/>
        <i x="397" s="1"/>
        <i x="489" s="1"/>
        <i x="556" s="1"/>
        <i x="38" s="1"/>
        <i x="271" s="1"/>
        <i x="388" s="1"/>
        <i x="372" s="1"/>
        <i x="478" s="1"/>
        <i x="170" s="1"/>
        <i x="329" s="1"/>
        <i x="393" s="1"/>
        <i x="374" s="1"/>
        <i x="303" s="1"/>
        <i x="421" s="1"/>
        <i x="476" s="1"/>
        <i x="434" s="1"/>
        <i x="236" s="1"/>
        <i x="323" s="1"/>
        <i x="390" s="1"/>
        <i x="180" s="1"/>
        <i x="418" s="1"/>
        <i x="504" s="1"/>
        <i x="36" s="1"/>
        <i x="2" s="1"/>
        <i x="463" s="1"/>
        <i x="538" s="1"/>
        <i x="443" s="1"/>
        <i x="370" s="1"/>
        <i x="45" s="1"/>
        <i x="57" s="1"/>
        <i x="59" s="1"/>
        <i x="93" s="1"/>
        <i x="391" s="1"/>
        <i x="564" s="1"/>
        <i x="342" s="1"/>
        <i x="287" s="1"/>
        <i x="341" s="1"/>
        <i x="371" s="1"/>
        <i x="481" s="1"/>
        <i x="524" s="1"/>
        <i x="568" s="1"/>
        <i x="217" s="1"/>
        <i x="192" s="1"/>
        <i x="337" s="1"/>
        <i x="215" s="1"/>
        <i x="398" s="1"/>
        <i x="549" s="1"/>
        <i x="553" s="1"/>
        <i x="62" s="1"/>
        <i x="148" s="1"/>
        <i x="288" s="1"/>
        <i x="8" s="1"/>
        <i x="186" s="1"/>
        <i x="179" s="1"/>
        <i x="360" s="1"/>
        <i x="51" s="1"/>
        <i x="430" s="1"/>
        <i x="530" s="1"/>
        <i x="381" s="1"/>
        <i x="135" s="1"/>
        <i x="173" s="1"/>
        <i x="537" s="1"/>
        <i x="520" s="1"/>
        <i x="168" s="1"/>
        <i x="24" s="1"/>
        <i x="54" s="1"/>
        <i x="89" s="1"/>
        <i x="404" s="1"/>
        <i x="198" s="1"/>
        <i x="174" s="1"/>
        <i x="155" s="1"/>
        <i x="53" s="1"/>
        <i x="327" s="1"/>
        <i x="278" s="1"/>
        <i x="78" s="1"/>
        <i x="386" s="1"/>
        <i x="114" s="1"/>
        <i x="431" s="1"/>
        <i x="273" s="1"/>
        <i x="307" s="1"/>
        <i x="340" s="1"/>
        <i x="102" s="1"/>
        <i x="318" s="1"/>
        <i x="447" s="1"/>
        <i x="210" s="1"/>
        <i x="172" s="1"/>
        <i x="109" s="1"/>
        <i x="193" s="1"/>
        <i x="72" s="1"/>
        <i x="238" s="1"/>
        <i x="60" s="1"/>
        <i x="159" s="1"/>
        <i x="82" s="1"/>
        <i x="531" s="1"/>
        <i x="261" s="1"/>
        <i x="301" s="1"/>
        <i x="138" s="1"/>
        <i x="486" s="1"/>
        <i x="254" s="1"/>
        <i x="482" s="1"/>
        <i x="16" s="1"/>
        <i x="162" s="1"/>
        <i x="466" s="1"/>
        <i x="490" s="1"/>
        <i x="58" s="1"/>
        <i x="330" s="1"/>
        <i x="367" s="1"/>
        <i x="221" s="1"/>
        <i x="32" s="1"/>
        <i x="508" s="1"/>
        <i x="230" s="1"/>
        <i x="56" s="1"/>
        <i x="528" s="1"/>
        <i x="103" s="1"/>
        <i x="363" s="1"/>
        <i x="297" s="1"/>
        <i x="133" s="1"/>
        <i x="324" s="1"/>
        <i x="94" s="1"/>
        <i x="88" s="1"/>
        <i x="69" s="1"/>
        <i x="183" s="1"/>
        <i x="124" s="1"/>
        <i x="76" s="1"/>
        <i x="81" s="1"/>
        <i x="92" s="1"/>
        <i x="292" s="1"/>
        <i x="18" s="1"/>
        <i x="461" s="1"/>
        <i x="144" s="1"/>
        <i x="424" s="1"/>
        <i x="70" s="1"/>
        <i x="96" s="1"/>
        <i x="350" s="1"/>
        <i x="322" s="1"/>
        <i x="494" s="1"/>
        <i x="383" s="1"/>
        <i x="274" s="1"/>
        <i x="181" s="1"/>
        <i x="140" s="1"/>
        <i x="5" s="1"/>
        <i x="123" s="1"/>
        <i x="565" s="1"/>
        <i x="84" s="1"/>
        <i x="438" s="1"/>
        <i x="22" s="1"/>
        <i x="100" s="1"/>
        <i x="439" s="1"/>
        <i x="529" s="1"/>
        <i x="364" s="1"/>
        <i x="558" s="1"/>
        <i x="387" s="1"/>
        <i x="126" s="1"/>
        <i x="320" s="1"/>
        <i x="359" s="1"/>
        <i x="7" s="1"/>
        <i x="197" s="1"/>
        <i x="26" s="1"/>
        <i x="248" s="1"/>
        <i x="523" s="1"/>
        <i x="465" s="1"/>
        <i x="98" s="1"/>
        <i x="160" s="1"/>
        <i x="90" s="1"/>
        <i x="204" s="1"/>
        <i x="20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 xr10:uid="{5F8B66C0-EB24-4EDB-99BC-9AA896E07480}" cache="Slicer_Date" caption="Date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01DDA6-15EF-4DD1-AFB4-62562A4247DE}" name="Table1" displayName="Table1" ref="A1:M747" totalsRowShown="0" headerRowDxfId="14" dataDxfId="13">
  <autoFilter ref="A1:M747" xr:uid="{2301DDA6-15EF-4DD1-AFB4-62562A4247DE}"/>
  <sortState xmlns:xlrd2="http://schemas.microsoft.com/office/spreadsheetml/2017/richdata2" ref="A2:M747">
    <sortCondition ref="A1:A747"/>
  </sortState>
  <tableColumns count="13">
    <tableColumn id="1" xr3:uid="{57A764CE-A602-45F2-AB77-48BBED08C523}" name="transaction_id" dataDxfId="12"/>
    <tableColumn id="2" xr3:uid="{72125751-B0E5-4EFF-8E02-FA6641BD065F}" name="user_id" dataDxfId="11"/>
    <tableColumn id="3" xr3:uid="{9C350398-ADE1-4202-B652-7E8BE5BD9383}" name="date" dataDxfId="10"/>
    <tableColumn id="4" xr3:uid="{4C43CC80-5F21-44F8-BACE-CBBCAFB8B6EF}" name="date corrected" dataDxfId="0">
      <calculatedColumnFormula>IF(ISBLANK(C2),("unknown"),IF(ISNUMBER(C2),C2,DATE(RIGHT(C2,4),LEFT(C2,2),MID(C2,4,2))))</calculatedColumnFormula>
    </tableColumn>
    <tableColumn id="5" xr3:uid="{FAC36D36-D491-4AEF-8130-39471FD4F8D9}" name="transaction_type" dataDxfId="9"/>
    <tableColumn id="6" xr3:uid="{6EB6FF6F-AB4B-49D3-9921-CDBB0DB6494F}" name="category" dataDxfId="8"/>
    <tableColumn id="7" xr3:uid="{943B2936-1683-41F3-83C3-6BDD8FB55201}" name="amount" dataDxfId="7"/>
    <tableColumn id="8" xr3:uid="{FE695718-2B70-400C-A654-4D62F4B51658}" name="corrected amount" dataDxfId="6">
      <calculatedColumnFormula array="1">IF(TRIM(G2)="",
   MEDIAN(IFERROR(--SUBSTITUTE(SUBSTITUTE(SUBSTITUTE(SUBSTITUTE(SUBSTITUTE(SUBSTITUTE(G$2:G$747,"Rs.",""),"INR",""),"₹",""),"â‚¹",""),"$","")," ",""),"")),
   IFERROR(--SUBSTITUTE(SUBSTITUTE(SUBSTITUTE(SUBSTITUTE(SUBSTITUTE(SUBSTITUTE(TRIM(G2),"Rs.",""),"INR",""),"₹",""),"â‚¹",""),"$","")," ",""),"")
)</calculatedColumnFormula>
    </tableColumn>
    <tableColumn id="9" xr3:uid="{E7B5C714-55F4-463C-A13B-95F343C4BF26}" name="Expense only" dataDxfId="5">
      <calculatedColumnFormula>IF(E2="Expense",H2,"Nill")</calculatedColumnFormula>
    </tableColumn>
    <tableColumn id="10" xr3:uid="{B2731A14-DBF4-4FD8-A50B-F2344F0681DB}" name="Income only" dataDxfId="4">
      <calculatedColumnFormula>IF(E2="Income",H2,"Nill")</calculatedColumnFormula>
    </tableColumn>
    <tableColumn id="11" xr3:uid="{4492DAE2-C4FC-4B7C-BE3B-F6832EA88206}" name="payment_mode" dataDxfId="3"/>
    <tableColumn id="12" xr3:uid="{D80BB286-1D41-49E6-97DF-692A9A573F91}" name="location" dataDxfId="2"/>
    <tableColumn id="13" xr3:uid="{298C88C4-DA2F-4B3D-87E1-96233DDF6BD6}" name="not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46822FC-6072-434B-99F0-1A2157D3B44B}">
  <we:reference id="wa200008734" version="1.0.0.4" store="en-US" storeType="OMEX"/>
  <we:alternateReferences>
    <we:reference id="wa200008734" version="1.0.0.4" store="wa200008734" storeType="OMEX"/>
  </we:alternateReferences>
  <we:properties>
    <we:property name="elkar-uid" value="&quot;12e8d9f1-cb79-44be-8cc7-7fe7dc96b27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03B14-4A22-4FB3-9567-3E7E3B301CE8}">
  <sheetPr codeName="Sheet1">
    <tabColor theme="0" tint="-0.499984740745262"/>
  </sheetPr>
  <dimension ref="A1:N750"/>
  <sheetViews>
    <sheetView tabSelected="1" workbookViewId="0">
      <selection activeCell="N10" sqref="N10"/>
    </sheetView>
  </sheetViews>
  <sheetFormatPr defaultRowHeight="15" x14ac:dyDescent="0.25"/>
  <cols>
    <col min="1" max="1" width="15.7109375" style="1" customWidth="1"/>
    <col min="2" max="2" width="10.28515625" style="1" customWidth="1"/>
    <col min="3" max="3" width="10.7109375" style="1" bestFit="1" customWidth="1"/>
    <col min="4" max="4" width="14.140625" style="1" customWidth="1"/>
    <col min="5" max="5" width="14.85546875" style="1" customWidth="1"/>
    <col min="6" max="6" width="18" style="1" customWidth="1"/>
    <col min="7" max="7" width="14.42578125" style="1" customWidth="1"/>
    <col min="8" max="8" width="18.140625" style="1" customWidth="1"/>
    <col min="9" max="9" width="18.85546875" style="1" customWidth="1"/>
    <col min="10" max="10" width="14.85546875" style="1" customWidth="1"/>
    <col min="11" max="11" width="21.5703125" style="1" customWidth="1"/>
    <col min="12" max="12" width="20" style="1" customWidth="1"/>
    <col min="13" max="13" width="22.42578125" style="1" customWidth="1"/>
    <col min="14" max="14" width="21.140625" style="1" bestFit="1" customWidth="1"/>
    <col min="17" max="17" width="14.140625" bestFit="1" customWidth="1"/>
    <col min="18" max="18" width="19.5703125" bestFit="1" customWidth="1"/>
    <col min="19" max="19" width="16.28515625" bestFit="1" customWidth="1"/>
    <col min="20" max="20" width="9.85546875" bestFit="1" customWidth="1"/>
    <col min="21" max="22" width="11" bestFit="1" customWidth="1"/>
    <col min="23" max="23" width="10.5703125" bestFit="1" customWidth="1"/>
    <col min="24" max="27" width="11" bestFit="1" customWidth="1"/>
    <col min="28" max="28" width="6" bestFit="1" customWidth="1"/>
    <col min="29" max="29" width="11" bestFit="1" customWidth="1"/>
    <col min="30" max="30" width="11.28515625" bestFit="1" customWidth="1"/>
    <col min="31" max="74" width="4" bestFit="1" customWidth="1"/>
    <col min="75" max="563" width="5" bestFit="1" customWidth="1"/>
    <col min="564" max="569" width="6" bestFit="1" customWidth="1"/>
    <col min="570" max="570" width="11" bestFit="1" customWidth="1"/>
    <col min="571" max="611" width="6" bestFit="1" customWidth="1"/>
    <col min="612" max="612" width="4.140625" bestFit="1" customWidth="1"/>
    <col min="613" max="613" width="11.28515625" bestFit="1" customWidth="1"/>
  </cols>
  <sheetData>
    <row r="1" spans="1:14" s="2" customFormat="1" ht="18.75" customHeight="1" x14ac:dyDescent="0.25">
      <c r="A1" s="2" t="s">
        <v>0</v>
      </c>
      <c r="B1" s="2" t="s">
        <v>1</v>
      </c>
      <c r="C1" s="2" t="s">
        <v>2</v>
      </c>
      <c r="D1" s="2" t="s">
        <v>1254</v>
      </c>
      <c r="E1" s="2" t="s">
        <v>3</v>
      </c>
      <c r="F1" s="2" t="s">
        <v>4</v>
      </c>
      <c r="G1" s="2" t="s">
        <v>5</v>
      </c>
      <c r="H1" s="2" t="s">
        <v>1241</v>
      </c>
      <c r="I1" s="2" t="s">
        <v>1239</v>
      </c>
      <c r="J1" s="2" t="s">
        <v>1240</v>
      </c>
      <c r="K1" s="2" t="s">
        <v>6</v>
      </c>
      <c r="L1" s="2" t="s">
        <v>7</v>
      </c>
      <c r="M1" s="2" t="s">
        <v>8</v>
      </c>
    </row>
    <row r="2" spans="1:14" x14ac:dyDescent="0.25">
      <c r="A2" s="1" t="s">
        <v>435</v>
      </c>
      <c r="B2" s="1" t="s">
        <v>130</v>
      </c>
      <c r="C2" s="1" t="s">
        <v>436</v>
      </c>
      <c r="D2" s="6">
        <f t="shared" ref="D2:D65" si="0">IF(ISBLANK(C2),("unknown"),IF(ISNUMBER(C2),C2,DATE(RIGHT(C2,4),LEFT(C2,2),MID(C2,4,2))))</f>
        <v>45401</v>
      </c>
      <c r="E2" s="1" t="s">
        <v>11</v>
      </c>
      <c r="F2" s="1" t="s">
        <v>1253</v>
      </c>
      <c r="G2" s="1">
        <v>1064</v>
      </c>
      <c r="H2" s="1" cm="1">
        <f t="array" ref="H2">IF(TRIM(G2)="",
   MEDIAN(IFERROR(--SUBSTITUTE(SUBSTITUTE(SUBSTITUTE(SUBSTITUTE(SUBSTITUTE(SUBSTITUTE(G$2:G$747,"Rs.",""),"INR",""),"₹",""),"â‚¹",""),"$","")," ",""),"")),
   IFERROR(--SUBSTITUTE(SUBSTITUTE(SUBSTITUTE(SUBSTITUTE(SUBSTITUTE(SUBSTITUTE(TRIM(G2),"Rs.",""),"INR",""),"₹",""),"â‚¹",""),"$","")," ",""),"")
)</f>
        <v>1064</v>
      </c>
      <c r="I2" s="1">
        <f t="shared" ref="I2:I65" si="1">IF(E2="Expense",H2,"Nill")</f>
        <v>1064</v>
      </c>
      <c r="J2" s="1" t="str">
        <f t="shared" ref="J2:J65" si="2">IF(E2="Income",H2,"Nill")</f>
        <v>Nill</v>
      </c>
      <c r="K2" s="1" t="s">
        <v>138</v>
      </c>
      <c r="L2" s="1" t="s">
        <v>13</v>
      </c>
      <c r="M2" s="1" t="s">
        <v>22</v>
      </c>
      <c r="N2"/>
    </row>
    <row r="3" spans="1:14" x14ac:dyDescent="0.25">
      <c r="A3" s="1" t="s">
        <v>823</v>
      </c>
      <c r="B3" s="1" t="s">
        <v>184</v>
      </c>
      <c r="C3" s="5">
        <v>44278</v>
      </c>
      <c r="D3" s="6">
        <f t="shared" si="0"/>
        <v>44278</v>
      </c>
      <c r="E3" s="1" t="s">
        <v>11</v>
      </c>
      <c r="F3" s="1" t="s">
        <v>158</v>
      </c>
      <c r="G3" s="1">
        <v>9273</v>
      </c>
      <c r="H3" s="1" cm="1">
        <f t="array" ref="H3">IF(TRIM(G3)="",
   MEDIAN(IFERROR(--SUBSTITUTE(SUBSTITUTE(SUBSTITUTE(SUBSTITUTE(SUBSTITUTE(SUBSTITUTE(G$2:G$747,"Rs.",""),"INR",""),"₹",""),"â‚¹",""),"$","")," ",""),"")),
   IFERROR(--SUBSTITUTE(SUBSTITUTE(SUBSTITUTE(SUBSTITUTE(SUBSTITUTE(SUBSTITUTE(TRIM(G3),"Rs.",""),"INR",""),"₹",""),"â‚¹",""),"$","")," ",""),"")
)</f>
        <v>9273</v>
      </c>
      <c r="I3" s="1">
        <f t="shared" si="1"/>
        <v>9273</v>
      </c>
      <c r="J3" s="1" t="str">
        <f t="shared" si="2"/>
        <v>Nill</v>
      </c>
      <c r="K3" s="1" t="s">
        <v>12</v>
      </c>
      <c r="L3" s="1" t="s">
        <v>81</v>
      </c>
      <c r="M3" s="1" t="s">
        <v>1253</v>
      </c>
      <c r="N3"/>
    </row>
    <row r="4" spans="1:14" x14ac:dyDescent="0.25">
      <c r="A4" s="1" t="s">
        <v>833</v>
      </c>
      <c r="B4" s="1" t="s">
        <v>78</v>
      </c>
      <c r="C4" s="5">
        <v>44690</v>
      </c>
      <c r="D4" s="6">
        <f t="shared" si="0"/>
        <v>44690</v>
      </c>
      <c r="E4" s="1" t="s">
        <v>11</v>
      </c>
      <c r="F4" s="1" t="s">
        <v>69</v>
      </c>
      <c r="G4" s="1" t="s">
        <v>834</v>
      </c>
      <c r="H4" s="1" cm="1">
        <f t="array" ref="H4">IF(TRIM(G4)="",
   MEDIAN(IFERROR(--SUBSTITUTE(SUBSTITUTE(SUBSTITUTE(SUBSTITUTE(SUBSTITUTE(SUBSTITUTE(G$2:G$747,"Rs.",""),"INR",""),"₹",""),"â‚¹",""),"$","")," ",""),"")),
   IFERROR(--SUBSTITUTE(SUBSTITUTE(SUBSTITUTE(SUBSTITUTE(SUBSTITUTE(SUBSTITUTE(TRIM(G4),"Rs.",""),"INR",""),"₹",""),"â‚¹",""),"$","")," ",""),"")
)</f>
        <v>6402</v>
      </c>
      <c r="I4" s="1">
        <f t="shared" si="1"/>
        <v>6402</v>
      </c>
      <c r="J4" s="1" t="str">
        <f t="shared" si="2"/>
        <v>Nill</v>
      </c>
      <c r="K4" s="1" t="s">
        <v>172</v>
      </c>
      <c r="L4" s="1" t="s">
        <v>217</v>
      </c>
      <c r="M4" s="1" t="s">
        <v>241</v>
      </c>
      <c r="N4"/>
    </row>
    <row r="5" spans="1:14" x14ac:dyDescent="0.25">
      <c r="A5" s="1" t="s">
        <v>1074</v>
      </c>
      <c r="B5" s="1" t="s">
        <v>96</v>
      </c>
      <c r="C5" s="5">
        <v>45303</v>
      </c>
      <c r="D5" s="6">
        <f t="shared" si="0"/>
        <v>45303</v>
      </c>
      <c r="E5" s="1" t="s">
        <v>11</v>
      </c>
      <c r="F5" s="1" t="s">
        <v>69</v>
      </c>
      <c r="G5" s="1">
        <v>2984</v>
      </c>
      <c r="H5" s="1" cm="1">
        <f t="array" ref="H5">IF(TRIM(G5)="",
   MEDIAN(IFERROR(--SUBSTITUTE(SUBSTITUTE(SUBSTITUTE(SUBSTITUTE(SUBSTITUTE(SUBSTITUTE(G$2:G$747,"Rs.",""),"INR",""),"₹",""),"â‚¹",""),"$","")," ",""),"")),
   IFERROR(--SUBSTITUTE(SUBSTITUTE(SUBSTITUTE(SUBSTITUTE(SUBSTITUTE(SUBSTITUTE(TRIM(G5),"Rs.",""),"INR",""),"₹",""),"â‚¹",""),"$","")," ",""),"")
)</f>
        <v>2984</v>
      </c>
      <c r="I5" s="1">
        <f t="shared" si="1"/>
        <v>2984</v>
      </c>
      <c r="J5" s="1" t="str">
        <f t="shared" si="2"/>
        <v>Nill</v>
      </c>
      <c r="K5" s="1" t="s">
        <v>12</v>
      </c>
      <c r="L5" s="1" t="s">
        <v>1252</v>
      </c>
      <c r="M5" s="1" t="s">
        <v>70</v>
      </c>
      <c r="N5"/>
    </row>
    <row r="6" spans="1:14" x14ac:dyDescent="0.25">
      <c r="A6" s="1" t="s">
        <v>266</v>
      </c>
      <c r="B6" s="1" t="s">
        <v>267</v>
      </c>
      <c r="C6" s="5">
        <v>45408</v>
      </c>
      <c r="D6" s="6">
        <f t="shared" si="0"/>
        <v>45408</v>
      </c>
      <c r="E6" s="1" t="s">
        <v>11</v>
      </c>
      <c r="F6" s="1" t="s">
        <v>171</v>
      </c>
      <c r="G6" s="1" t="s">
        <v>268</v>
      </c>
      <c r="H6" s="1" cm="1">
        <f t="array" ref="H6">IF(TRIM(G6)="",
   MEDIAN(IFERROR(--SUBSTITUTE(SUBSTITUTE(SUBSTITUTE(SUBSTITUTE(SUBSTITUTE(SUBSTITUTE(G$2:G$747,"Rs.",""),"INR",""),"₹",""),"â‚¹",""),"$","")," ",""),"")),
   IFERROR(--SUBSTITUTE(SUBSTITUTE(SUBSTITUTE(SUBSTITUTE(SUBSTITUTE(SUBSTITUTE(TRIM(G6),"Rs.",""),"INR",""),"₹",""),"â‚¹",""),"$","")," ",""),"")
)</f>
        <v>6141</v>
      </c>
      <c r="I6" s="1">
        <f t="shared" si="1"/>
        <v>6141</v>
      </c>
      <c r="J6" s="1" t="str">
        <f t="shared" si="2"/>
        <v>Nill</v>
      </c>
      <c r="K6" s="1" t="s">
        <v>138</v>
      </c>
      <c r="L6" s="1" t="s">
        <v>167</v>
      </c>
      <c r="M6" s="1" t="s">
        <v>1253</v>
      </c>
      <c r="N6"/>
    </row>
    <row r="7" spans="1:14" x14ac:dyDescent="0.25">
      <c r="A7" s="1" t="s">
        <v>698</v>
      </c>
      <c r="B7" s="1" t="s">
        <v>166</v>
      </c>
      <c r="C7" s="5">
        <v>44933</v>
      </c>
      <c r="D7" s="6">
        <f t="shared" si="0"/>
        <v>44933</v>
      </c>
      <c r="E7" s="1" t="s">
        <v>11</v>
      </c>
      <c r="F7" s="1" t="s">
        <v>104</v>
      </c>
      <c r="G7" s="1">
        <v>4167</v>
      </c>
      <c r="H7" s="1" cm="1">
        <f t="array" ref="H7">IF(TRIM(G7)="",
   MEDIAN(IFERROR(--SUBSTITUTE(SUBSTITUTE(SUBSTITUTE(SUBSTITUTE(SUBSTITUTE(SUBSTITUTE(G$2:G$747,"Rs.",""),"INR",""),"₹",""),"â‚¹",""),"$","")," ",""),"")),
   IFERROR(--SUBSTITUTE(SUBSTITUTE(SUBSTITUTE(SUBSTITUTE(SUBSTITUTE(SUBSTITUTE(TRIM(G7),"Rs.",""),"INR",""),"₹",""),"â‚¹",""),"$","")," ",""),"")
)</f>
        <v>4167</v>
      </c>
      <c r="I7" s="1">
        <f t="shared" si="1"/>
        <v>4167</v>
      </c>
      <c r="J7" s="1" t="str">
        <f t="shared" si="2"/>
        <v>Nill</v>
      </c>
      <c r="K7" s="1" t="s">
        <v>138</v>
      </c>
      <c r="L7" s="1" t="s">
        <v>167</v>
      </c>
      <c r="M7" s="1" t="s">
        <v>1253</v>
      </c>
      <c r="N7"/>
    </row>
    <row r="8" spans="1:14" x14ac:dyDescent="0.25">
      <c r="A8" s="1" t="s">
        <v>621</v>
      </c>
      <c r="B8" s="1" t="s">
        <v>431</v>
      </c>
      <c r="C8" s="5">
        <v>44374</v>
      </c>
      <c r="D8" s="6">
        <f t="shared" si="0"/>
        <v>44374</v>
      </c>
      <c r="E8" s="1" t="s">
        <v>11</v>
      </c>
      <c r="F8" s="1" t="s">
        <v>85</v>
      </c>
      <c r="G8" s="1" t="s">
        <v>622</v>
      </c>
      <c r="H8" s="1" cm="1">
        <f t="array" ref="H8">IF(TRIM(G8)="",
   MEDIAN(IFERROR(--SUBSTITUTE(SUBSTITUTE(SUBSTITUTE(SUBSTITUTE(SUBSTITUTE(SUBSTITUTE(G$2:G$747,"Rs.",""),"INR",""),"₹",""),"â‚¹",""),"$","")," ",""),"")),
   IFERROR(--SUBSTITUTE(SUBSTITUTE(SUBSTITUTE(SUBSTITUTE(SUBSTITUTE(SUBSTITUTE(TRIM(G8),"Rs.",""),"INR",""),"₹",""),"â‚¹",""),"$","")," ",""),"")
)</f>
        <v>7135</v>
      </c>
      <c r="I8" s="1">
        <f t="shared" si="1"/>
        <v>7135</v>
      </c>
      <c r="J8" s="1" t="str">
        <f t="shared" si="2"/>
        <v>Nill</v>
      </c>
      <c r="K8" s="1" t="s">
        <v>204</v>
      </c>
      <c r="L8" s="1" t="s">
        <v>40</v>
      </c>
      <c r="M8" s="1" t="s">
        <v>76</v>
      </c>
      <c r="N8"/>
    </row>
    <row r="9" spans="1:14" x14ac:dyDescent="0.25">
      <c r="A9" s="1" t="s">
        <v>1224</v>
      </c>
      <c r="B9" s="1" t="s">
        <v>606</v>
      </c>
      <c r="C9" s="5">
        <v>44550</v>
      </c>
      <c r="D9" s="6">
        <f t="shared" si="0"/>
        <v>44550</v>
      </c>
      <c r="E9" s="1" t="s">
        <v>20</v>
      </c>
      <c r="F9" s="1" t="s">
        <v>52</v>
      </c>
      <c r="G9" s="1">
        <v>749253</v>
      </c>
      <c r="H9" s="1" cm="1">
        <f t="array" ref="H9">IF(TRIM(G9)="",
   MEDIAN(IFERROR(--SUBSTITUTE(SUBSTITUTE(SUBSTITUTE(SUBSTITUTE(SUBSTITUTE(SUBSTITUTE(G$2:G$747,"Rs.",""),"INR",""),"₹",""),"â‚¹",""),"$","")," ",""),"")),
   IFERROR(--SUBSTITUTE(SUBSTITUTE(SUBSTITUTE(SUBSTITUTE(SUBSTITUTE(SUBSTITUTE(TRIM(G9),"Rs.",""),"INR",""),"₹",""),"â‚¹",""),"$","")," ",""),"")
)</f>
        <v>749253</v>
      </c>
      <c r="I9" s="1" t="str">
        <f t="shared" si="1"/>
        <v>Nill</v>
      </c>
      <c r="J9" s="1">
        <f t="shared" si="2"/>
        <v>749253</v>
      </c>
      <c r="K9" s="1" t="s">
        <v>25</v>
      </c>
      <c r="L9" s="1" t="s">
        <v>13</v>
      </c>
      <c r="M9" s="1" t="s">
        <v>26</v>
      </c>
      <c r="N9"/>
    </row>
    <row r="10" spans="1:14" x14ac:dyDescent="0.25">
      <c r="A10" s="1" t="s">
        <v>580</v>
      </c>
      <c r="B10" s="1" t="s">
        <v>96</v>
      </c>
      <c r="C10" s="5">
        <v>44725</v>
      </c>
      <c r="D10" s="6">
        <f t="shared" si="0"/>
        <v>44725</v>
      </c>
      <c r="E10" s="1" t="s">
        <v>11</v>
      </c>
      <c r="F10" s="1" t="s">
        <v>52</v>
      </c>
      <c r="G10" s="1">
        <v>6610</v>
      </c>
      <c r="H10" s="1" cm="1">
        <f t="array" ref="H10">IF(TRIM(G10)="",
   MEDIAN(IFERROR(--SUBSTITUTE(SUBSTITUTE(SUBSTITUTE(SUBSTITUTE(SUBSTITUTE(SUBSTITUTE(G$2:G$747,"Rs.",""),"INR",""),"₹",""),"â‚¹",""),"$","")," ",""),"")),
   IFERROR(--SUBSTITUTE(SUBSTITUTE(SUBSTITUTE(SUBSTITUTE(SUBSTITUTE(SUBSTITUTE(TRIM(G10),"Rs.",""),"INR",""),"₹",""),"â‚¹",""),"$","")," ",""),"")
)</f>
        <v>6610</v>
      </c>
      <c r="I10" s="1">
        <f t="shared" si="1"/>
        <v>6610</v>
      </c>
      <c r="J10" s="1" t="str">
        <f t="shared" si="2"/>
        <v>Nill</v>
      </c>
      <c r="K10" s="1" t="s">
        <v>138</v>
      </c>
      <c r="L10" s="1" t="s">
        <v>167</v>
      </c>
      <c r="M10" s="1" t="s">
        <v>70</v>
      </c>
      <c r="N10"/>
    </row>
    <row r="11" spans="1:14" x14ac:dyDescent="0.25">
      <c r="A11" s="1" t="s">
        <v>427</v>
      </c>
      <c r="B11" s="1" t="s">
        <v>428</v>
      </c>
      <c r="C11" s="5">
        <v>45140</v>
      </c>
      <c r="D11" s="6">
        <f t="shared" si="0"/>
        <v>45140</v>
      </c>
      <c r="E11" s="1" t="s">
        <v>11</v>
      </c>
      <c r="F11" s="1" t="s">
        <v>249</v>
      </c>
      <c r="G11" s="1">
        <v>7080</v>
      </c>
      <c r="H11" s="1" cm="1">
        <f t="array" ref="H11">IF(TRIM(G11)="",
   MEDIAN(IFERROR(--SUBSTITUTE(SUBSTITUTE(SUBSTITUTE(SUBSTITUTE(SUBSTITUTE(SUBSTITUTE(G$2:G$747,"Rs.",""),"INR",""),"₹",""),"â‚¹",""),"$","")," ",""),"")),
   IFERROR(--SUBSTITUTE(SUBSTITUTE(SUBSTITUTE(SUBSTITUTE(SUBSTITUTE(SUBSTITUTE(TRIM(G11),"Rs.",""),"INR",""),"₹",""),"â‚¹",""),"$","")," ",""),"")
)</f>
        <v>7080</v>
      </c>
      <c r="I11" s="1">
        <f t="shared" si="1"/>
        <v>7080</v>
      </c>
      <c r="J11" s="1" t="str">
        <f t="shared" si="2"/>
        <v>Nill</v>
      </c>
      <c r="K11" s="1" t="s">
        <v>25</v>
      </c>
      <c r="L11" s="1" t="s">
        <v>217</v>
      </c>
      <c r="M11" s="1" t="s">
        <v>35</v>
      </c>
      <c r="N11"/>
    </row>
    <row r="12" spans="1:14" x14ac:dyDescent="0.25">
      <c r="A12" s="1" t="s">
        <v>686</v>
      </c>
      <c r="B12" s="1" t="s">
        <v>67</v>
      </c>
      <c r="C12" s="5">
        <v>45273</v>
      </c>
      <c r="D12" s="6">
        <f t="shared" si="0"/>
        <v>45273</v>
      </c>
      <c r="E12" s="1" t="s">
        <v>11</v>
      </c>
      <c r="F12" s="1" t="s">
        <v>85</v>
      </c>
      <c r="G12" s="1" t="s">
        <v>687</v>
      </c>
      <c r="H12" s="1" cm="1">
        <f t="array" ref="H12">IF(TRIM(G12)="",
   MEDIAN(IFERROR(--SUBSTITUTE(SUBSTITUTE(SUBSTITUTE(SUBSTITUTE(SUBSTITUTE(SUBSTITUTE(G$2:G$747,"Rs.",""),"INR",""),"₹",""),"â‚¹",""),"$","")," ",""),"")),
   IFERROR(--SUBSTITUTE(SUBSTITUTE(SUBSTITUTE(SUBSTITUTE(SUBSTITUTE(SUBSTITUTE(TRIM(G12),"Rs.",""),"INR",""),"₹",""),"â‚¹",""),"$","")," ",""),"")
)</f>
        <v>2963</v>
      </c>
      <c r="I12" s="1">
        <f t="shared" si="1"/>
        <v>2963</v>
      </c>
      <c r="J12" s="1" t="str">
        <f t="shared" si="2"/>
        <v>Nill</v>
      </c>
      <c r="K12" s="1" t="s">
        <v>53</v>
      </c>
      <c r="L12" s="1" t="s">
        <v>1252</v>
      </c>
      <c r="M12" s="1" t="s">
        <v>1253</v>
      </c>
      <c r="N12"/>
    </row>
    <row r="13" spans="1:14" x14ac:dyDescent="0.25">
      <c r="A13" s="1" t="s">
        <v>1122</v>
      </c>
      <c r="B13" s="1" t="s">
        <v>330</v>
      </c>
      <c r="C13" s="5">
        <v>44897</v>
      </c>
      <c r="D13" s="6">
        <f t="shared" si="0"/>
        <v>44897</v>
      </c>
      <c r="E13" s="1" t="s">
        <v>11</v>
      </c>
      <c r="F13" s="1" t="s">
        <v>759</v>
      </c>
      <c r="G13" s="1">
        <v>8773</v>
      </c>
      <c r="H13" s="1" cm="1">
        <f t="array" ref="H13">IF(TRIM(G13)="",
   MEDIAN(IFERROR(--SUBSTITUTE(SUBSTITUTE(SUBSTITUTE(SUBSTITUTE(SUBSTITUTE(SUBSTITUTE(G$2:G$747,"Rs.",""),"INR",""),"₹",""),"â‚¹",""),"$","")," ",""),"")),
   IFERROR(--SUBSTITUTE(SUBSTITUTE(SUBSTITUTE(SUBSTITUTE(SUBSTITUTE(SUBSTITUTE(TRIM(G13),"Rs.",""),"INR",""),"₹",""),"â‚¹",""),"$","")," ",""),"")
)</f>
        <v>8773</v>
      </c>
      <c r="I13" s="1">
        <f t="shared" si="1"/>
        <v>8773</v>
      </c>
      <c r="J13" s="1" t="str">
        <f t="shared" si="2"/>
        <v>Nill</v>
      </c>
      <c r="K13" s="1" t="s">
        <v>138</v>
      </c>
      <c r="L13" s="1" t="s">
        <v>17</v>
      </c>
      <c r="M13" s="1" t="s">
        <v>190</v>
      </c>
      <c r="N13"/>
    </row>
    <row r="14" spans="1:14" x14ac:dyDescent="0.25">
      <c r="A14" s="1" t="s">
        <v>290</v>
      </c>
      <c r="B14" s="1" t="s">
        <v>126</v>
      </c>
      <c r="C14" s="5">
        <v>45651</v>
      </c>
      <c r="D14" s="6">
        <f t="shared" si="0"/>
        <v>45651</v>
      </c>
      <c r="E14" s="1" t="s">
        <v>11</v>
      </c>
      <c r="F14" s="1" t="s">
        <v>69</v>
      </c>
      <c r="G14" s="1">
        <v>2163</v>
      </c>
      <c r="H14" s="1" cm="1">
        <f t="array" ref="H14">IF(TRIM(G14)="",
   MEDIAN(IFERROR(--SUBSTITUTE(SUBSTITUTE(SUBSTITUTE(SUBSTITUTE(SUBSTITUTE(SUBSTITUTE(G$2:G$747,"Rs.",""),"INR",""),"₹",""),"â‚¹",""),"$","")," ",""),"")),
   IFERROR(--SUBSTITUTE(SUBSTITUTE(SUBSTITUTE(SUBSTITUTE(SUBSTITUTE(SUBSTITUTE(TRIM(G14),"Rs.",""),"INR",""),"₹",""),"â‚¹",""),"$","")," ",""),"")
)</f>
        <v>2163</v>
      </c>
      <c r="I14" s="1">
        <f t="shared" si="1"/>
        <v>2163</v>
      </c>
      <c r="J14" s="1" t="str">
        <f t="shared" si="2"/>
        <v>Nill</v>
      </c>
      <c r="K14" s="1" t="s">
        <v>172</v>
      </c>
      <c r="L14" s="1" t="s">
        <v>198</v>
      </c>
      <c r="M14" s="1" t="s">
        <v>88</v>
      </c>
      <c r="N14"/>
    </row>
    <row r="15" spans="1:14" x14ac:dyDescent="0.25">
      <c r="A15" s="1" t="s">
        <v>906</v>
      </c>
      <c r="B15" s="1" t="s">
        <v>281</v>
      </c>
      <c r="C15" s="5">
        <v>45638</v>
      </c>
      <c r="D15" s="6">
        <f t="shared" si="0"/>
        <v>45638</v>
      </c>
      <c r="E15" s="1" t="s">
        <v>20</v>
      </c>
      <c r="F15" s="1" t="s">
        <v>112</v>
      </c>
      <c r="G15" s="1">
        <v>45361</v>
      </c>
      <c r="H15" s="1" cm="1">
        <f t="array" ref="H15">IF(TRIM(G15)="",
   MEDIAN(IFERROR(--SUBSTITUTE(SUBSTITUTE(SUBSTITUTE(SUBSTITUTE(SUBSTITUTE(SUBSTITUTE(G$2:G$747,"Rs.",""),"INR",""),"₹",""),"â‚¹",""),"$","")," ",""),"")),
   IFERROR(--SUBSTITUTE(SUBSTITUTE(SUBSTITUTE(SUBSTITUTE(SUBSTITUTE(SUBSTITUTE(TRIM(G15),"Rs.",""),"INR",""),"₹",""),"â‚¹",""),"$","")," ",""),"")
)</f>
        <v>45361</v>
      </c>
      <c r="I15" s="1" t="str">
        <f t="shared" si="1"/>
        <v>Nill</v>
      </c>
      <c r="J15" s="1">
        <f t="shared" si="2"/>
        <v>45361</v>
      </c>
      <c r="K15" s="1" t="s">
        <v>110</v>
      </c>
      <c r="L15" s="1" t="s">
        <v>17</v>
      </c>
      <c r="M15" s="1" t="s">
        <v>26</v>
      </c>
      <c r="N15"/>
    </row>
    <row r="16" spans="1:14" x14ac:dyDescent="0.25">
      <c r="A16" s="1" t="s">
        <v>771</v>
      </c>
      <c r="B16" s="1" t="s">
        <v>238</v>
      </c>
      <c r="D16" s="6" t="str">
        <f t="shared" si="0"/>
        <v>unknown</v>
      </c>
      <c r="E16" s="1" t="s">
        <v>11</v>
      </c>
      <c r="F16" s="1" t="s">
        <v>759</v>
      </c>
      <c r="G16" s="1">
        <v>6027</v>
      </c>
      <c r="H16" s="1" cm="1">
        <f t="array" ref="H16">IF(TRIM(G16)="",
   MEDIAN(IFERROR(--SUBSTITUTE(SUBSTITUTE(SUBSTITUTE(SUBSTITUTE(SUBSTITUTE(SUBSTITUTE(G$2:G$747,"Rs.",""),"INR",""),"₹",""),"â‚¹",""),"$","")," ",""),"")),
   IFERROR(--SUBSTITUTE(SUBSTITUTE(SUBSTITUTE(SUBSTITUTE(SUBSTITUTE(SUBSTITUTE(TRIM(G16),"Rs.",""),"INR",""),"₹",""),"â‚¹",""),"$","")," ",""),"")
)</f>
        <v>6027</v>
      </c>
      <c r="I16" s="1">
        <f t="shared" si="1"/>
        <v>6027</v>
      </c>
      <c r="J16" s="1" t="str">
        <f t="shared" si="2"/>
        <v>Nill</v>
      </c>
      <c r="K16" s="1" t="s">
        <v>25</v>
      </c>
      <c r="L16" s="1" t="s">
        <v>40</v>
      </c>
      <c r="M16" s="1" t="s">
        <v>241</v>
      </c>
      <c r="N16"/>
    </row>
    <row r="17" spans="1:14" x14ac:dyDescent="0.25">
      <c r="A17" s="1" t="s">
        <v>552</v>
      </c>
      <c r="B17" s="1" t="s">
        <v>145</v>
      </c>
      <c r="C17" s="5">
        <v>45515</v>
      </c>
      <c r="D17" s="6">
        <f t="shared" si="0"/>
        <v>45515</v>
      </c>
      <c r="E17" s="1" t="s">
        <v>11</v>
      </c>
      <c r="F17" s="1" t="s">
        <v>249</v>
      </c>
      <c r="G17" s="1">
        <v>8479</v>
      </c>
      <c r="H17" s="1" cm="1">
        <f t="array" ref="H17">IF(TRIM(G17)="",
   MEDIAN(IFERROR(--SUBSTITUTE(SUBSTITUTE(SUBSTITUTE(SUBSTITUTE(SUBSTITUTE(SUBSTITUTE(G$2:G$747,"Rs.",""),"INR",""),"₹",""),"â‚¹",""),"$","")," ",""),"")),
   IFERROR(--SUBSTITUTE(SUBSTITUTE(SUBSTITUTE(SUBSTITUTE(SUBSTITUTE(SUBSTITUTE(TRIM(G17),"Rs.",""),"INR",""),"₹",""),"â‚¹",""),"$","")," ",""),"")
)</f>
        <v>8479</v>
      </c>
      <c r="I17" s="1">
        <f t="shared" si="1"/>
        <v>8479</v>
      </c>
      <c r="J17" s="1" t="str">
        <f t="shared" si="2"/>
        <v>Nill</v>
      </c>
      <c r="K17" s="1" t="s">
        <v>87</v>
      </c>
      <c r="L17" s="1" t="s">
        <v>81</v>
      </c>
      <c r="M17" s="1" t="s">
        <v>241</v>
      </c>
      <c r="N17"/>
    </row>
    <row r="18" spans="1:14" x14ac:dyDescent="0.25">
      <c r="A18" s="1" t="s">
        <v>1082</v>
      </c>
      <c r="B18" s="1" t="s">
        <v>24</v>
      </c>
      <c r="C18" s="1" t="s">
        <v>1083</v>
      </c>
      <c r="D18" s="6">
        <f t="shared" si="0"/>
        <v>44857</v>
      </c>
      <c r="E18" s="1" t="s">
        <v>11</v>
      </c>
      <c r="F18" s="1" t="s">
        <v>171</v>
      </c>
      <c r="G18" s="1">
        <v>8337</v>
      </c>
      <c r="H18" s="1" cm="1">
        <f t="array" ref="H18">IF(TRIM(G18)="",
   MEDIAN(IFERROR(--SUBSTITUTE(SUBSTITUTE(SUBSTITUTE(SUBSTITUTE(SUBSTITUTE(SUBSTITUTE(G$2:G$747,"Rs.",""),"INR",""),"₹",""),"â‚¹",""),"$","")," ",""),"")),
   IFERROR(--SUBSTITUTE(SUBSTITUTE(SUBSTITUTE(SUBSTITUTE(SUBSTITUTE(SUBSTITUTE(TRIM(G18),"Rs.",""),"INR",""),"₹",""),"â‚¹",""),"$","")," ",""),"")
)</f>
        <v>8337</v>
      </c>
      <c r="I18" s="1">
        <f t="shared" si="1"/>
        <v>8337</v>
      </c>
      <c r="J18" s="1" t="str">
        <f t="shared" si="2"/>
        <v>Nill</v>
      </c>
      <c r="K18" s="1" t="s">
        <v>172</v>
      </c>
      <c r="L18" s="1" t="s">
        <v>299</v>
      </c>
      <c r="M18" s="1" t="s">
        <v>1253</v>
      </c>
      <c r="N18"/>
    </row>
    <row r="19" spans="1:14" x14ac:dyDescent="0.25">
      <c r="A19" s="1" t="s">
        <v>162</v>
      </c>
      <c r="B19" s="1" t="s">
        <v>124</v>
      </c>
      <c r="C19" s="5">
        <v>45154</v>
      </c>
      <c r="D19" s="6">
        <f t="shared" si="0"/>
        <v>45154</v>
      </c>
      <c r="E19" s="1" t="s">
        <v>11</v>
      </c>
      <c r="F19" s="1" t="s">
        <v>249</v>
      </c>
      <c r="G19" s="1">
        <v>1081</v>
      </c>
      <c r="H19" s="1" cm="1">
        <f t="array" ref="H19">IF(TRIM(G19)="",
   MEDIAN(IFERROR(--SUBSTITUTE(SUBSTITUTE(SUBSTITUTE(SUBSTITUTE(SUBSTITUTE(SUBSTITUTE(G$2:G$747,"Rs.",""),"INR",""),"₹",""),"â‚¹",""),"$","")," ",""),"")),
   IFERROR(--SUBSTITUTE(SUBSTITUTE(SUBSTITUTE(SUBSTITUTE(SUBSTITUTE(SUBSTITUTE(TRIM(G19),"Rs.",""),"INR",""),"₹",""),"â‚¹",""),"$","")," ",""),"")
)</f>
        <v>1081</v>
      </c>
      <c r="I19" s="1">
        <f t="shared" si="1"/>
        <v>1081</v>
      </c>
      <c r="J19" s="1" t="str">
        <f t="shared" si="2"/>
        <v>Nill</v>
      </c>
      <c r="K19" s="1" t="s">
        <v>12</v>
      </c>
      <c r="L19" s="1" t="s">
        <v>167</v>
      </c>
      <c r="M19" s="1" t="s">
        <v>1253</v>
      </c>
      <c r="N19"/>
    </row>
    <row r="20" spans="1:14" x14ac:dyDescent="0.25">
      <c r="A20" s="1" t="s">
        <v>329</v>
      </c>
      <c r="B20" s="1" t="s">
        <v>330</v>
      </c>
      <c r="C20" s="5">
        <v>44235</v>
      </c>
      <c r="D20" s="6">
        <f t="shared" si="0"/>
        <v>44235</v>
      </c>
      <c r="E20" s="1" t="s">
        <v>11</v>
      </c>
      <c r="F20" s="1" t="s">
        <v>249</v>
      </c>
      <c r="G20" s="1">
        <v>8841</v>
      </c>
      <c r="H20" s="1" cm="1">
        <f t="array" ref="H20">IF(TRIM(G20)="",
   MEDIAN(IFERROR(--SUBSTITUTE(SUBSTITUTE(SUBSTITUTE(SUBSTITUTE(SUBSTITUTE(SUBSTITUTE(G$2:G$747,"Rs.",""),"INR",""),"₹",""),"â‚¹",""),"$","")," ",""),"")),
   IFERROR(--SUBSTITUTE(SUBSTITUTE(SUBSTITUTE(SUBSTITUTE(SUBSTITUTE(SUBSTITUTE(TRIM(G20),"Rs.",""),"INR",""),"₹",""),"â‚¹",""),"$","")," ",""),"")
)</f>
        <v>8841</v>
      </c>
      <c r="I20" s="1">
        <f t="shared" si="1"/>
        <v>8841</v>
      </c>
      <c r="J20" s="1" t="str">
        <f t="shared" si="2"/>
        <v>Nill</v>
      </c>
      <c r="K20" s="1" t="s">
        <v>1253</v>
      </c>
      <c r="L20" s="1" t="s">
        <v>198</v>
      </c>
      <c r="M20" s="1" t="s">
        <v>1253</v>
      </c>
      <c r="N20"/>
    </row>
    <row r="21" spans="1:14" x14ac:dyDescent="0.25">
      <c r="A21" s="1" t="s">
        <v>763</v>
      </c>
      <c r="B21" s="1" t="s">
        <v>61</v>
      </c>
      <c r="C21" s="5">
        <v>44478</v>
      </c>
      <c r="D21" s="6">
        <f t="shared" si="0"/>
        <v>44478</v>
      </c>
      <c r="E21" s="1" t="s">
        <v>11</v>
      </c>
      <c r="F21" s="1" t="s">
        <v>69</v>
      </c>
      <c r="G21" s="1">
        <v>2017</v>
      </c>
      <c r="H21" s="1" cm="1">
        <f t="array" ref="H21">IF(TRIM(G21)="",
   MEDIAN(IFERROR(--SUBSTITUTE(SUBSTITUTE(SUBSTITUTE(SUBSTITUTE(SUBSTITUTE(SUBSTITUTE(G$2:G$747,"Rs.",""),"INR",""),"₹",""),"â‚¹",""),"$","")," ",""),"")),
   IFERROR(--SUBSTITUTE(SUBSTITUTE(SUBSTITUTE(SUBSTITUTE(SUBSTITUTE(SUBSTITUTE(TRIM(G21),"Rs.",""),"INR",""),"₹",""),"â‚¹",""),"$","")," ",""),"")
)</f>
        <v>2017</v>
      </c>
      <c r="I21" s="1">
        <f t="shared" si="1"/>
        <v>2017</v>
      </c>
      <c r="J21" s="1" t="str">
        <f t="shared" si="2"/>
        <v>Nill</v>
      </c>
      <c r="K21" s="1" t="s">
        <v>25</v>
      </c>
      <c r="L21" s="1" t="s">
        <v>81</v>
      </c>
      <c r="M21" s="1" t="s">
        <v>179</v>
      </c>
      <c r="N21"/>
    </row>
    <row r="22" spans="1:14" x14ac:dyDescent="0.25">
      <c r="A22" s="1" t="s">
        <v>1023</v>
      </c>
      <c r="B22" s="1" t="s">
        <v>527</v>
      </c>
      <c r="C22" s="5">
        <v>44405</v>
      </c>
      <c r="D22" s="6">
        <f t="shared" si="0"/>
        <v>44405</v>
      </c>
      <c r="E22" s="1" t="s">
        <v>11</v>
      </c>
      <c r="F22" s="1" t="s">
        <v>30</v>
      </c>
      <c r="G22" s="1">
        <v>1652</v>
      </c>
      <c r="H22" s="1" cm="1">
        <f t="array" ref="H22">IF(TRIM(G22)="",
   MEDIAN(IFERROR(--SUBSTITUTE(SUBSTITUTE(SUBSTITUTE(SUBSTITUTE(SUBSTITUTE(SUBSTITUTE(G$2:G$747,"Rs.",""),"INR",""),"₹",""),"â‚¹",""),"$","")," ",""),"")),
   IFERROR(--SUBSTITUTE(SUBSTITUTE(SUBSTITUTE(SUBSTITUTE(SUBSTITUTE(SUBSTITUTE(TRIM(G22),"Rs.",""),"INR",""),"₹",""),"â‚¹",""),"$","")," ",""),"")
)</f>
        <v>1652</v>
      </c>
      <c r="I22" s="1">
        <f t="shared" si="1"/>
        <v>1652</v>
      </c>
      <c r="J22" s="1" t="str">
        <f t="shared" si="2"/>
        <v>Nill</v>
      </c>
      <c r="K22" s="1" t="s">
        <v>12</v>
      </c>
      <c r="L22" s="1" t="s">
        <v>17</v>
      </c>
      <c r="M22" s="1" t="s">
        <v>1253</v>
      </c>
      <c r="N22"/>
    </row>
    <row r="23" spans="1:14" x14ac:dyDescent="0.25">
      <c r="A23" s="1" t="s">
        <v>770</v>
      </c>
      <c r="B23" s="1" t="s">
        <v>166</v>
      </c>
      <c r="C23" s="5">
        <v>45124</v>
      </c>
      <c r="D23" s="6">
        <f t="shared" si="0"/>
        <v>45124</v>
      </c>
      <c r="E23" s="1" t="s">
        <v>11</v>
      </c>
      <c r="F23" s="1" t="s">
        <v>249</v>
      </c>
      <c r="G23" s="1">
        <v>392</v>
      </c>
      <c r="H23" s="1" cm="1">
        <f t="array" ref="H23">IF(TRIM(G23)="",
   MEDIAN(IFERROR(--SUBSTITUTE(SUBSTITUTE(SUBSTITUTE(SUBSTITUTE(SUBSTITUTE(SUBSTITUTE(G$2:G$747,"Rs.",""),"INR",""),"₹",""),"â‚¹",""),"$","")," ",""),"")),
   IFERROR(--SUBSTITUTE(SUBSTITUTE(SUBSTITUTE(SUBSTITUTE(SUBSTITUTE(SUBSTITUTE(TRIM(G23),"Rs.",""),"INR",""),"₹",""),"â‚¹",""),"$","")," ",""),"")
)</f>
        <v>392</v>
      </c>
      <c r="I23" s="1">
        <f t="shared" si="1"/>
        <v>392</v>
      </c>
      <c r="J23" s="1" t="str">
        <f t="shared" si="2"/>
        <v>Nill</v>
      </c>
      <c r="K23" s="1" t="s">
        <v>75</v>
      </c>
      <c r="L23" s="1" t="s">
        <v>167</v>
      </c>
      <c r="M23" s="1" t="s">
        <v>41</v>
      </c>
      <c r="N23"/>
    </row>
    <row r="24" spans="1:14" x14ac:dyDescent="0.25">
      <c r="A24" s="1" t="s">
        <v>1034</v>
      </c>
      <c r="B24" s="1" t="s">
        <v>181</v>
      </c>
      <c r="C24" s="5">
        <v>44757</v>
      </c>
      <c r="D24" s="6">
        <f t="shared" si="0"/>
        <v>44757</v>
      </c>
      <c r="E24" s="1" t="s">
        <v>20</v>
      </c>
      <c r="F24" s="1" t="s">
        <v>239</v>
      </c>
      <c r="G24" s="1">
        <v>59853</v>
      </c>
      <c r="H24" s="1" cm="1">
        <f t="array" ref="H24">IF(TRIM(G24)="",
   MEDIAN(IFERROR(--SUBSTITUTE(SUBSTITUTE(SUBSTITUTE(SUBSTITUTE(SUBSTITUTE(SUBSTITUTE(G$2:G$747,"Rs.",""),"INR",""),"₹",""),"â‚¹",""),"$","")," ",""),"")),
   IFERROR(--SUBSTITUTE(SUBSTITUTE(SUBSTITUTE(SUBSTITUTE(SUBSTITUTE(SUBSTITUTE(TRIM(G24),"Rs.",""),"INR",""),"₹",""),"â‚¹",""),"$","")," ",""),"")
)</f>
        <v>59853</v>
      </c>
      <c r="I24" s="1" t="str">
        <f t="shared" si="1"/>
        <v>Nill</v>
      </c>
      <c r="J24" s="1">
        <f t="shared" si="2"/>
        <v>59853</v>
      </c>
      <c r="K24" s="1" t="s">
        <v>12</v>
      </c>
      <c r="L24" s="1" t="s">
        <v>13</v>
      </c>
      <c r="M24" s="1" t="s">
        <v>26</v>
      </c>
      <c r="N24"/>
    </row>
    <row r="25" spans="1:14" x14ac:dyDescent="0.25">
      <c r="A25" s="1" t="s">
        <v>1181</v>
      </c>
      <c r="B25" s="1" t="s">
        <v>522</v>
      </c>
      <c r="C25" s="5">
        <v>44941</v>
      </c>
      <c r="D25" s="6">
        <f t="shared" si="0"/>
        <v>44941</v>
      </c>
      <c r="E25" s="1" t="s">
        <v>11</v>
      </c>
      <c r="F25" s="1" t="s">
        <v>158</v>
      </c>
      <c r="G25" s="1">
        <v>6020</v>
      </c>
      <c r="H25" s="1" cm="1">
        <f t="array" ref="H25">IF(TRIM(G25)="",
   MEDIAN(IFERROR(--SUBSTITUTE(SUBSTITUTE(SUBSTITUTE(SUBSTITUTE(SUBSTITUTE(SUBSTITUTE(G$2:G$747,"Rs.",""),"INR",""),"₹",""),"â‚¹",""),"$","")," ",""),"")),
   IFERROR(--SUBSTITUTE(SUBSTITUTE(SUBSTITUTE(SUBSTITUTE(SUBSTITUTE(SUBSTITUTE(TRIM(G25),"Rs.",""),"INR",""),"₹",""),"â‚¹",""),"$","")," ",""),"")
)</f>
        <v>6020</v>
      </c>
      <c r="I25" s="1">
        <f t="shared" si="1"/>
        <v>6020</v>
      </c>
      <c r="J25" s="1" t="str">
        <f t="shared" si="2"/>
        <v>Nill</v>
      </c>
      <c r="K25" s="1" t="s">
        <v>12</v>
      </c>
      <c r="L25" s="1" t="s">
        <v>167</v>
      </c>
      <c r="M25" s="1" t="s">
        <v>128</v>
      </c>
      <c r="N25"/>
    </row>
    <row r="26" spans="1:14" x14ac:dyDescent="0.25">
      <c r="A26" s="1" t="s">
        <v>872</v>
      </c>
      <c r="B26" s="1" t="s">
        <v>873</v>
      </c>
      <c r="C26" s="5">
        <v>45231</v>
      </c>
      <c r="D26" s="6">
        <f t="shared" si="0"/>
        <v>45231</v>
      </c>
      <c r="E26" s="1" t="s">
        <v>11</v>
      </c>
      <c r="F26" s="1" t="s">
        <v>379</v>
      </c>
      <c r="H26" s="1" cm="1">
        <f t="array" ref="H26">IF(TRIM(G26)="",
   MEDIAN(IFERROR(--SUBSTITUTE(SUBSTITUTE(SUBSTITUTE(SUBSTITUTE(SUBSTITUTE(SUBSTITUTE(G$2:G$747,"Rs.",""),"INR",""),"₹",""),"â‚¹",""),"$","")," ",""),"")),
   IFERROR(--SUBSTITUTE(SUBSTITUTE(SUBSTITUTE(SUBSTITUTE(SUBSTITUTE(SUBSTITUTE(TRIM(G26),"Rs.",""),"INR",""),"₹",""),"â‚¹",""),"$","")," ",""),"")
)</f>
        <v>5935</v>
      </c>
      <c r="I26" s="1">
        <f t="shared" si="1"/>
        <v>5935</v>
      </c>
      <c r="J26" s="1" t="str">
        <f t="shared" si="2"/>
        <v>Nill</v>
      </c>
      <c r="K26" s="1" t="s">
        <v>25</v>
      </c>
      <c r="L26" s="1" t="s">
        <v>198</v>
      </c>
      <c r="M26" s="1" t="s">
        <v>1253</v>
      </c>
      <c r="N26"/>
    </row>
    <row r="27" spans="1:14" x14ac:dyDescent="0.25">
      <c r="A27" s="1" t="s">
        <v>1160</v>
      </c>
      <c r="B27" s="1" t="s">
        <v>678</v>
      </c>
      <c r="C27" s="1" t="s">
        <v>857</v>
      </c>
      <c r="D27" s="6">
        <f t="shared" si="0"/>
        <v>44735</v>
      </c>
      <c r="E27" s="1" t="s">
        <v>11</v>
      </c>
      <c r="F27" s="1" t="s">
        <v>171</v>
      </c>
      <c r="G27" s="1">
        <v>3050</v>
      </c>
      <c r="H27" s="1" cm="1">
        <f t="array" ref="H27">IF(TRIM(G27)="",
   MEDIAN(IFERROR(--SUBSTITUTE(SUBSTITUTE(SUBSTITUTE(SUBSTITUTE(SUBSTITUTE(SUBSTITUTE(G$2:G$747,"Rs.",""),"INR",""),"₹",""),"â‚¹",""),"$","")," ",""),"")),
   IFERROR(--SUBSTITUTE(SUBSTITUTE(SUBSTITUTE(SUBSTITUTE(SUBSTITUTE(SUBSTITUTE(TRIM(G27),"Rs.",""),"INR",""),"₹",""),"â‚¹",""),"$","")," ",""),"")
)</f>
        <v>3050</v>
      </c>
      <c r="I27" s="1">
        <f t="shared" si="1"/>
        <v>3050</v>
      </c>
      <c r="J27" s="1" t="str">
        <f t="shared" si="2"/>
        <v>Nill</v>
      </c>
      <c r="K27" s="1" t="s">
        <v>25</v>
      </c>
      <c r="L27" s="1" t="s">
        <v>167</v>
      </c>
      <c r="M27" s="1" t="s">
        <v>1253</v>
      </c>
      <c r="N27"/>
    </row>
    <row r="28" spans="1:14" x14ac:dyDescent="0.25">
      <c r="A28" s="1" t="s">
        <v>619</v>
      </c>
      <c r="B28" s="1" t="s">
        <v>216</v>
      </c>
      <c r="C28" s="5">
        <v>44218</v>
      </c>
      <c r="D28" s="6">
        <f t="shared" si="0"/>
        <v>44218</v>
      </c>
      <c r="E28" s="1" t="s">
        <v>11</v>
      </c>
      <c r="F28" s="1" t="s">
        <v>69</v>
      </c>
      <c r="G28" s="1">
        <v>1641</v>
      </c>
      <c r="H28" s="1" cm="1">
        <f t="array" ref="H28">IF(TRIM(G28)="",
   MEDIAN(IFERROR(--SUBSTITUTE(SUBSTITUTE(SUBSTITUTE(SUBSTITUTE(SUBSTITUTE(SUBSTITUTE(G$2:G$747,"Rs.",""),"INR",""),"₹",""),"â‚¹",""),"$","")," ",""),"")),
   IFERROR(--SUBSTITUTE(SUBSTITUTE(SUBSTITUTE(SUBSTITUTE(SUBSTITUTE(SUBSTITUTE(TRIM(G28),"Rs.",""),"INR",""),"₹",""),"â‚¹",""),"$","")," ",""),"")
)</f>
        <v>1641</v>
      </c>
      <c r="I28" s="1">
        <f t="shared" si="1"/>
        <v>1641</v>
      </c>
      <c r="J28" s="1" t="str">
        <f t="shared" si="2"/>
        <v>Nill</v>
      </c>
      <c r="K28" s="1" t="s">
        <v>138</v>
      </c>
      <c r="L28" s="1" t="s">
        <v>217</v>
      </c>
      <c r="M28" s="1" t="s">
        <v>1253</v>
      </c>
      <c r="N28"/>
    </row>
    <row r="29" spans="1:14" x14ac:dyDescent="0.25">
      <c r="A29" s="1" t="s">
        <v>301</v>
      </c>
      <c r="B29" s="1" t="s">
        <v>142</v>
      </c>
      <c r="C29" s="5">
        <v>45523</v>
      </c>
      <c r="D29" s="6">
        <f t="shared" si="0"/>
        <v>45523</v>
      </c>
      <c r="E29" s="1" t="s">
        <v>11</v>
      </c>
      <c r="F29" s="1" t="s">
        <v>158</v>
      </c>
      <c r="G29" s="1">
        <v>3150</v>
      </c>
      <c r="H29" s="1" cm="1">
        <f t="array" ref="H29">IF(TRIM(G29)="",
   MEDIAN(IFERROR(--SUBSTITUTE(SUBSTITUTE(SUBSTITUTE(SUBSTITUTE(SUBSTITUTE(SUBSTITUTE(G$2:G$747,"Rs.",""),"INR",""),"₹",""),"â‚¹",""),"$","")," ",""),"")),
   IFERROR(--SUBSTITUTE(SUBSTITUTE(SUBSTITUTE(SUBSTITUTE(SUBSTITUTE(SUBSTITUTE(TRIM(G29),"Rs.",""),"INR",""),"₹",""),"â‚¹",""),"$","")," ",""),"")
)</f>
        <v>3150</v>
      </c>
      <c r="I29" s="1">
        <f t="shared" si="1"/>
        <v>3150</v>
      </c>
      <c r="J29" s="1" t="str">
        <f t="shared" si="2"/>
        <v>Nill</v>
      </c>
      <c r="K29" s="1" t="s">
        <v>25</v>
      </c>
      <c r="L29" s="1" t="s">
        <v>299</v>
      </c>
      <c r="M29" s="1" t="s">
        <v>113</v>
      </c>
      <c r="N29"/>
    </row>
    <row r="30" spans="1:14" x14ac:dyDescent="0.25">
      <c r="A30" s="1" t="s">
        <v>1219</v>
      </c>
      <c r="B30" s="1" t="s">
        <v>96</v>
      </c>
      <c r="C30" s="5">
        <v>44250</v>
      </c>
      <c r="D30" s="6">
        <f t="shared" si="0"/>
        <v>44250</v>
      </c>
      <c r="E30" s="1" t="s">
        <v>11</v>
      </c>
      <c r="F30" s="1" t="s">
        <v>171</v>
      </c>
      <c r="G30" s="1">
        <v>2693</v>
      </c>
      <c r="H30" s="1" cm="1">
        <f t="array" ref="H30">IF(TRIM(G30)="",
   MEDIAN(IFERROR(--SUBSTITUTE(SUBSTITUTE(SUBSTITUTE(SUBSTITUTE(SUBSTITUTE(SUBSTITUTE(G$2:G$747,"Rs.",""),"INR",""),"₹",""),"â‚¹",""),"$","")," ",""),"")),
   IFERROR(--SUBSTITUTE(SUBSTITUTE(SUBSTITUTE(SUBSTITUTE(SUBSTITUTE(SUBSTITUTE(TRIM(G30),"Rs.",""),"INR",""),"₹",""),"â‚¹",""),"$","")," ",""),"")
)</f>
        <v>2693</v>
      </c>
      <c r="I30" s="1">
        <f t="shared" si="1"/>
        <v>2693</v>
      </c>
      <c r="J30" s="1" t="str">
        <f t="shared" si="2"/>
        <v>Nill</v>
      </c>
      <c r="K30" s="1" t="s">
        <v>48</v>
      </c>
      <c r="L30" s="1" t="s">
        <v>81</v>
      </c>
      <c r="M30" s="1" t="s">
        <v>117</v>
      </c>
      <c r="N30"/>
    </row>
    <row r="31" spans="1:14" x14ac:dyDescent="0.25">
      <c r="A31" s="1" t="s">
        <v>240</v>
      </c>
      <c r="B31" s="1" t="s">
        <v>124</v>
      </c>
      <c r="C31" s="5">
        <v>45160</v>
      </c>
      <c r="D31" s="6">
        <f t="shared" si="0"/>
        <v>45160</v>
      </c>
      <c r="E31" s="1" t="s">
        <v>11</v>
      </c>
      <c r="F31" s="1" t="s">
        <v>249</v>
      </c>
      <c r="G31" s="1">
        <v>3367</v>
      </c>
      <c r="H31" s="1" cm="1">
        <f t="array" ref="H31">IF(TRIM(G31)="",
   MEDIAN(IFERROR(--SUBSTITUTE(SUBSTITUTE(SUBSTITUTE(SUBSTITUTE(SUBSTITUTE(SUBSTITUTE(G$2:G$747,"Rs.",""),"INR",""),"₹",""),"â‚¹",""),"$","")," ",""),"")),
   IFERROR(--SUBSTITUTE(SUBSTITUTE(SUBSTITUTE(SUBSTITUTE(SUBSTITUTE(SUBSTITUTE(TRIM(G31),"Rs.",""),"INR",""),"₹",""),"â‚¹",""),"$","")," ",""),"")
)</f>
        <v>3367</v>
      </c>
      <c r="I31" s="1">
        <f t="shared" si="1"/>
        <v>3367</v>
      </c>
      <c r="J31" s="1" t="str">
        <f t="shared" si="2"/>
        <v>Nill</v>
      </c>
      <c r="K31" s="1" t="s">
        <v>25</v>
      </c>
      <c r="L31" s="1" t="s">
        <v>13</v>
      </c>
      <c r="M31" s="1" t="s">
        <v>241</v>
      </c>
      <c r="N31"/>
    </row>
    <row r="32" spans="1:14" x14ac:dyDescent="0.25">
      <c r="A32" s="1" t="s">
        <v>806</v>
      </c>
      <c r="B32" s="1" t="s">
        <v>90</v>
      </c>
      <c r="C32" s="5">
        <v>44605</v>
      </c>
      <c r="D32" s="6">
        <f t="shared" si="0"/>
        <v>44605</v>
      </c>
      <c r="E32" s="1" t="s">
        <v>11</v>
      </c>
      <c r="F32" s="1" t="s">
        <v>171</v>
      </c>
      <c r="G32" s="1">
        <v>5599</v>
      </c>
      <c r="H32" s="1" cm="1">
        <f t="array" ref="H32">IF(TRIM(G32)="",
   MEDIAN(IFERROR(--SUBSTITUTE(SUBSTITUTE(SUBSTITUTE(SUBSTITUTE(SUBSTITUTE(SUBSTITUTE(G$2:G$747,"Rs.",""),"INR",""),"₹",""),"â‚¹",""),"$","")," ",""),"")),
   IFERROR(--SUBSTITUTE(SUBSTITUTE(SUBSTITUTE(SUBSTITUTE(SUBSTITUTE(SUBSTITUTE(TRIM(G32),"Rs.",""),"INR",""),"₹",""),"â‚¹",""),"$","")," ",""),"")
)</f>
        <v>5599</v>
      </c>
      <c r="I32" s="1">
        <f t="shared" si="1"/>
        <v>5599</v>
      </c>
      <c r="J32" s="1" t="str">
        <f t="shared" si="2"/>
        <v>Nill</v>
      </c>
      <c r="K32" s="1" t="s">
        <v>25</v>
      </c>
      <c r="L32" s="1" t="s">
        <v>81</v>
      </c>
      <c r="M32" s="1" t="s">
        <v>1253</v>
      </c>
      <c r="N32"/>
    </row>
    <row r="33" spans="1:14" x14ac:dyDescent="0.25">
      <c r="A33" s="1" t="s">
        <v>45</v>
      </c>
      <c r="B33" s="1" t="s">
        <v>46</v>
      </c>
      <c r="C33" s="5">
        <v>45364</v>
      </c>
      <c r="D33" s="6">
        <f t="shared" si="0"/>
        <v>45364</v>
      </c>
      <c r="E33" s="1" t="s">
        <v>11</v>
      </c>
      <c r="F33" s="1" t="s">
        <v>249</v>
      </c>
      <c r="G33" s="1" t="s">
        <v>47</v>
      </c>
      <c r="H33" s="1" cm="1">
        <f t="array" ref="H33">IF(TRIM(G33)="",
   MEDIAN(IFERROR(--SUBSTITUTE(SUBSTITUTE(SUBSTITUTE(SUBSTITUTE(SUBSTITUTE(SUBSTITUTE(G$2:G$747,"Rs.",""),"INR",""),"₹",""),"â‚¹",""),"$","")," ",""),"")),
   IFERROR(--SUBSTITUTE(SUBSTITUTE(SUBSTITUTE(SUBSTITUTE(SUBSTITUTE(SUBSTITUTE(TRIM(G33),"Rs.",""),"INR",""),"₹",""),"â‚¹",""),"$","")," ",""),"")
)</f>
        <v>5070</v>
      </c>
      <c r="I33" s="1">
        <f t="shared" si="1"/>
        <v>5070</v>
      </c>
      <c r="J33" s="1" t="str">
        <f t="shared" si="2"/>
        <v>Nill</v>
      </c>
      <c r="K33" s="1" t="s">
        <v>48</v>
      </c>
      <c r="L33" s="1" t="s">
        <v>217</v>
      </c>
      <c r="M33" s="1" t="s">
        <v>49</v>
      </c>
      <c r="N33"/>
    </row>
    <row r="34" spans="1:14" x14ac:dyDescent="0.25">
      <c r="A34" s="1" t="s">
        <v>205</v>
      </c>
      <c r="B34" s="1" t="s">
        <v>206</v>
      </c>
      <c r="C34" s="5">
        <v>44474</v>
      </c>
      <c r="D34" s="6">
        <f t="shared" si="0"/>
        <v>44474</v>
      </c>
      <c r="E34" s="1" t="s">
        <v>11</v>
      </c>
      <c r="F34" s="1" t="s">
        <v>158</v>
      </c>
      <c r="G34" s="1">
        <v>9725</v>
      </c>
      <c r="H34" s="1" cm="1">
        <f t="array" ref="H34">IF(TRIM(G34)="",
   MEDIAN(IFERROR(--SUBSTITUTE(SUBSTITUTE(SUBSTITUTE(SUBSTITUTE(SUBSTITUTE(SUBSTITUTE(G$2:G$747,"Rs.",""),"INR",""),"₹",""),"â‚¹",""),"$","")," ",""),"")),
   IFERROR(--SUBSTITUTE(SUBSTITUTE(SUBSTITUTE(SUBSTITUTE(SUBSTITUTE(SUBSTITUTE(TRIM(G34),"Rs.",""),"INR",""),"₹",""),"â‚¹",""),"$","")," ",""),"")
)</f>
        <v>9725</v>
      </c>
      <c r="I34" s="1">
        <f t="shared" si="1"/>
        <v>9725</v>
      </c>
      <c r="J34" s="1" t="str">
        <f t="shared" si="2"/>
        <v>Nill</v>
      </c>
      <c r="K34" s="1" t="s">
        <v>25</v>
      </c>
      <c r="L34" s="1" t="s">
        <v>299</v>
      </c>
      <c r="M34" s="1" t="s">
        <v>70</v>
      </c>
      <c r="N34"/>
    </row>
    <row r="35" spans="1:14" x14ac:dyDescent="0.25">
      <c r="A35" s="1" t="s">
        <v>967</v>
      </c>
      <c r="B35" s="1" t="s">
        <v>121</v>
      </c>
      <c r="C35" s="5">
        <v>44259</v>
      </c>
      <c r="D35" s="6">
        <f t="shared" si="0"/>
        <v>44259</v>
      </c>
      <c r="E35" s="1" t="s">
        <v>11</v>
      </c>
      <c r="F35" s="1" t="s">
        <v>104</v>
      </c>
      <c r="G35" s="1">
        <v>3219</v>
      </c>
      <c r="H35" s="1" cm="1">
        <f t="array" ref="H35">IF(TRIM(G35)="",
   MEDIAN(IFERROR(--SUBSTITUTE(SUBSTITUTE(SUBSTITUTE(SUBSTITUTE(SUBSTITUTE(SUBSTITUTE(G$2:G$747,"Rs.",""),"INR",""),"₹",""),"â‚¹",""),"$","")," ",""),"")),
   IFERROR(--SUBSTITUTE(SUBSTITUTE(SUBSTITUTE(SUBSTITUTE(SUBSTITUTE(SUBSTITUTE(TRIM(G35),"Rs.",""),"INR",""),"₹",""),"â‚¹",""),"$","")," ",""),"")
)</f>
        <v>3219</v>
      </c>
      <c r="I35" s="1">
        <f t="shared" si="1"/>
        <v>3219</v>
      </c>
      <c r="J35" s="1" t="str">
        <f t="shared" si="2"/>
        <v>Nill</v>
      </c>
      <c r="K35" s="1" t="s">
        <v>53</v>
      </c>
      <c r="L35" s="1" t="s">
        <v>40</v>
      </c>
      <c r="M35" s="1" t="s">
        <v>241</v>
      </c>
      <c r="N35"/>
    </row>
    <row r="36" spans="1:14" x14ac:dyDescent="0.25">
      <c r="A36" s="1" t="s">
        <v>627</v>
      </c>
      <c r="B36" s="1" t="s">
        <v>628</v>
      </c>
      <c r="C36" s="5">
        <v>45592</v>
      </c>
      <c r="D36" s="6">
        <f t="shared" si="0"/>
        <v>45592</v>
      </c>
      <c r="E36" s="1" t="s">
        <v>11</v>
      </c>
      <c r="F36" s="1" t="s">
        <v>85</v>
      </c>
      <c r="G36" s="1">
        <v>475</v>
      </c>
      <c r="H36" s="1" cm="1">
        <f t="array" ref="H36">IF(TRIM(G36)="",
   MEDIAN(IFERROR(--SUBSTITUTE(SUBSTITUTE(SUBSTITUTE(SUBSTITUTE(SUBSTITUTE(SUBSTITUTE(G$2:G$747,"Rs.",""),"INR",""),"₹",""),"â‚¹",""),"$","")," ",""),"")),
   IFERROR(--SUBSTITUTE(SUBSTITUTE(SUBSTITUTE(SUBSTITUTE(SUBSTITUTE(SUBSTITUTE(TRIM(G36),"Rs.",""),"INR",""),"₹",""),"â‚¹",""),"$","")," ",""),"")
)</f>
        <v>475</v>
      </c>
      <c r="I36" s="1">
        <f t="shared" si="1"/>
        <v>475</v>
      </c>
      <c r="J36" s="1" t="str">
        <f t="shared" si="2"/>
        <v>Nill</v>
      </c>
      <c r="K36" s="1" t="s">
        <v>25</v>
      </c>
      <c r="L36" s="1" t="s">
        <v>127</v>
      </c>
      <c r="M36" s="1" t="s">
        <v>1253</v>
      </c>
      <c r="N36"/>
    </row>
    <row r="37" spans="1:14" x14ac:dyDescent="0.25">
      <c r="A37" s="1" t="s">
        <v>1018</v>
      </c>
      <c r="B37" s="1" t="s">
        <v>135</v>
      </c>
      <c r="C37" s="5">
        <v>44386</v>
      </c>
      <c r="D37" s="6">
        <f t="shared" si="0"/>
        <v>44386</v>
      </c>
      <c r="E37" s="1" t="s">
        <v>11</v>
      </c>
      <c r="F37" s="1" t="s">
        <v>465</v>
      </c>
      <c r="G37" s="1" t="s">
        <v>1019</v>
      </c>
      <c r="H37" s="1" cm="1">
        <f t="array" ref="H37">IF(TRIM(G37)="",
   MEDIAN(IFERROR(--SUBSTITUTE(SUBSTITUTE(SUBSTITUTE(SUBSTITUTE(SUBSTITUTE(SUBSTITUTE(G$2:G$747,"Rs.",""),"INR",""),"₹",""),"â‚¹",""),"$","")," ",""),"")),
   IFERROR(--SUBSTITUTE(SUBSTITUTE(SUBSTITUTE(SUBSTITUTE(SUBSTITUTE(SUBSTITUTE(TRIM(G37),"Rs.",""),"INR",""),"₹",""),"â‚¹",""),"$","")," ",""),"")
)</f>
        <v>210</v>
      </c>
      <c r="I37" s="1">
        <f t="shared" si="1"/>
        <v>210</v>
      </c>
      <c r="J37" s="1" t="str">
        <f t="shared" si="2"/>
        <v>Nill</v>
      </c>
      <c r="K37" s="1" t="s">
        <v>87</v>
      </c>
      <c r="L37" s="1" t="s">
        <v>81</v>
      </c>
      <c r="M37" s="1" t="s">
        <v>1253</v>
      </c>
      <c r="N37"/>
    </row>
    <row r="38" spans="1:14" x14ac:dyDescent="0.25">
      <c r="A38" s="1" t="s">
        <v>1186</v>
      </c>
      <c r="B38" s="1" t="s">
        <v>153</v>
      </c>
      <c r="C38" s="5">
        <v>44973</v>
      </c>
      <c r="D38" s="6">
        <f t="shared" si="0"/>
        <v>44973</v>
      </c>
      <c r="E38" s="1" t="s">
        <v>11</v>
      </c>
      <c r="F38" s="1" t="s">
        <v>69</v>
      </c>
      <c r="G38" s="1">
        <v>4235</v>
      </c>
      <c r="H38" s="1" cm="1">
        <f t="array" ref="H38">IF(TRIM(G38)="",
   MEDIAN(IFERROR(--SUBSTITUTE(SUBSTITUTE(SUBSTITUTE(SUBSTITUTE(SUBSTITUTE(SUBSTITUTE(G$2:G$747,"Rs.",""),"INR",""),"₹",""),"â‚¹",""),"$","")," ",""),"")),
   IFERROR(--SUBSTITUTE(SUBSTITUTE(SUBSTITUTE(SUBSTITUTE(SUBSTITUTE(SUBSTITUTE(TRIM(G38),"Rs.",""),"INR",""),"₹",""),"â‚¹",""),"$","")," ",""),"")
)</f>
        <v>4235</v>
      </c>
      <c r="I38" s="1">
        <f t="shared" si="1"/>
        <v>4235</v>
      </c>
      <c r="J38" s="1" t="str">
        <f t="shared" si="2"/>
        <v>Nill</v>
      </c>
      <c r="K38" s="1" t="s">
        <v>25</v>
      </c>
      <c r="L38" s="1" t="s">
        <v>127</v>
      </c>
      <c r="M38" s="1" t="s">
        <v>35</v>
      </c>
      <c r="N38"/>
    </row>
    <row r="39" spans="1:14" x14ac:dyDescent="0.25">
      <c r="A39" s="1" t="s">
        <v>250</v>
      </c>
      <c r="B39" s="1" t="s">
        <v>251</v>
      </c>
      <c r="C39" s="5">
        <v>45477</v>
      </c>
      <c r="D39" s="6">
        <f t="shared" si="0"/>
        <v>45477</v>
      </c>
      <c r="E39" s="1" t="s">
        <v>11</v>
      </c>
      <c r="F39" s="1" t="s">
        <v>85</v>
      </c>
      <c r="G39" s="1">
        <v>5524</v>
      </c>
      <c r="H39" s="1" cm="1">
        <f t="array" ref="H39">IF(TRIM(G39)="",
   MEDIAN(IFERROR(--SUBSTITUTE(SUBSTITUTE(SUBSTITUTE(SUBSTITUTE(SUBSTITUTE(SUBSTITUTE(G$2:G$747,"Rs.",""),"INR",""),"₹",""),"â‚¹",""),"$","")," ",""),"")),
   IFERROR(--SUBSTITUTE(SUBSTITUTE(SUBSTITUTE(SUBSTITUTE(SUBSTITUTE(SUBSTITUTE(TRIM(G39),"Rs.",""),"INR",""),"₹",""),"â‚¹",""),"$","")," ",""),"")
)</f>
        <v>5524</v>
      </c>
      <c r="I39" s="1">
        <f t="shared" si="1"/>
        <v>5524</v>
      </c>
      <c r="J39" s="1" t="str">
        <f t="shared" si="2"/>
        <v>Nill</v>
      </c>
      <c r="K39" s="1" t="s">
        <v>25</v>
      </c>
      <c r="L39" s="1" t="s">
        <v>17</v>
      </c>
      <c r="M39" s="1" t="s">
        <v>252</v>
      </c>
      <c r="N39"/>
    </row>
    <row r="40" spans="1:14" x14ac:dyDescent="0.25">
      <c r="A40" s="1" t="s">
        <v>1233</v>
      </c>
      <c r="B40" s="1" t="s">
        <v>326</v>
      </c>
      <c r="C40" s="5">
        <v>44318</v>
      </c>
      <c r="D40" s="6">
        <f t="shared" si="0"/>
        <v>44318</v>
      </c>
      <c r="E40" s="1" t="s">
        <v>11</v>
      </c>
      <c r="F40" s="1" t="s">
        <v>69</v>
      </c>
      <c r="G40" s="1" t="s">
        <v>1234</v>
      </c>
      <c r="H40" s="1" cm="1">
        <f t="array" ref="H40">IF(TRIM(G40)="",
   MEDIAN(IFERROR(--SUBSTITUTE(SUBSTITUTE(SUBSTITUTE(SUBSTITUTE(SUBSTITUTE(SUBSTITUTE(G$2:G$747,"Rs.",""),"INR",""),"₹",""),"â‚¹",""),"$","")," ",""),"")),
   IFERROR(--SUBSTITUTE(SUBSTITUTE(SUBSTITUTE(SUBSTITUTE(SUBSTITUTE(SUBSTITUTE(TRIM(G40),"Rs.",""),"INR",""),"₹",""),"â‚¹",""),"$","")," ",""),"")
)</f>
        <v>3429</v>
      </c>
      <c r="I40" s="1">
        <f t="shared" si="1"/>
        <v>3429</v>
      </c>
      <c r="J40" s="1" t="str">
        <f t="shared" si="2"/>
        <v>Nill</v>
      </c>
      <c r="K40" s="1" t="s">
        <v>261</v>
      </c>
      <c r="L40" s="1" t="s">
        <v>97</v>
      </c>
      <c r="M40" s="1" t="s">
        <v>41</v>
      </c>
      <c r="N40"/>
    </row>
    <row r="41" spans="1:14" x14ac:dyDescent="0.25">
      <c r="A41" s="1" t="s">
        <v>937</v>
      </c>
      <c r="B41" s="1" t="s">
        <v>276</v>
      </c>
      <c r="C41" s="5">
        <v>45280</v>
      </c>
      <c r="D41" s="6">
        <f t="shared" si="0"/>
        <v>45280</v>
      </c>
      <c r="E41" s="1" t="s">
        <v>11</v>
      </c>
      <c r="F41" s="1" t="s">
        <v>30</v>
      </c>
      <c r="G41" s="1">
        <v>7292</v>
      </c>
      <c r="H41" s="1" cm="1">
        <f t="array" ref="H41">IF(TRIM(G41)="",
   MEDIAN(IFERROR(--SUBSTITUTE(SUBSTITUTE(SUBSTITUTE(SUBSTITUTE(SUBSTITUTE(SUBSTITUTE(G$2:G$747,"Rs.",""),"INR",""),"₹",""),"â‚¹",""),"$","")," ",""),"")),
   IFERROR(--SUBSTITUTE(SUBSTITUTE(SUBSTITUTE(SUBSTITUTE(SUBSTITUTE(SUBSTITUTE(TRIM(G41),"Rs.",""),"INR",""),"₹",""),"â‚¹",""),"$","")," ",""),"")
)</f>
        <v>7292</v>
      </c>
      <c r="I41" s="1">
        <f t="shared" si="1"/>
        <v>7292</v>
      </c>
      <c r="J41" s="1" t="str">
        <f t="shared" si="2"/>
        <v>Nill</v>
      </c>
      <c r="K41" s="1" t="s">
        <v>53</v>
      </c>
      <c r="L41" s="1" t="s">
        <v>167</v>
      </c>
      <c r="M41" s="1" t="s">
        <v>14</v>
      </c>
      <c r="N41"/>
    </row>
    <row r="42" spans="1:14" x14ac:dyDescent="0.25">
      <c r="A42" s="1" t="s">
        <v>102</v>
      </c>
      <c r="B42" s="1" t="s">
        <v>103</v>
      </c>
      <c r="C42" s="5">
        <v>45402</v>
      </c>
      <c r="D42" s="6">
        <f t="shared" si="0"/>
        <v>45402</v>
      </c>
      <c r="E42" s="1" t="s">
        <v>11</v>
      </c>
      <c r="F42" s="1" t="s">
        <v>104</v>
      </c>
      <c r="G42" s="1">
        <v>7038</v>
      </c>
      <c r="H42" s="1" cm="1">
        <f t="array" ref="H42">IF(TRIM(G42)="",
   MEDIAN(IFERROR(--SUBSTITUTE(SUBSTITUTE(SUBSTITUTE(SUBSTITUTE(SUBSTITUTE(SUBSTITUTE(G$2:G$747,"Rs.",""),"INR",""),"₹",""),"â‚¹",""),"$","")," ",""),"")),
   IFERROR(--SUBSTITUTE(SUBSTITUTE(SUBSTITUTE(SUBSTITUTE(SUBSTITUTE(SUBSTITUTE(TRIM(G42),"Rs.",""),"INR",""),"₹",""),"â‚¹",""),"$","")," ",""),"")
)</f>
        <v>7038</v>
      </c>
      <c r="I42" s="1">
        <f t="shared" si="1"/>
        <v>7038</v>
      </c>
      <c r="J42" s="1" t="str">
        <f t="shared" si="2"/>
        <v>Nill</v>
      </c>
      <c r="K42" s="1" t="s">
        <v>12</v>
      </c>
      <c r="L42" s="1" t="s">
        <v>97</v>
      </c>
      <c r="M42" s="1" t="s">
        <v>54</v>
      </c>
      <c r="N42"/>
    </row>
    <row r="43" spans="1:14" x14ac:dyDescent="0.25">
      <c r="A43" s="1" t="s">
        <v>736</v>
      </c>
      <c r="B43" s="1" t="s">
        <v>208</v>
      </c>
      <c r="C43" s="5">
        <v>44907</v>
      </c>
      <c r="D43" s="6">
        <f t="shared" si="0"/>
        <v>44907</v>
      </c>
      <c r="E43" s="1" t="s">
        <v>11</v>
      </c>
      <c r="F43" s="1" t="s">
        <v>30</v>
      </c>
      <c r="G43" s="1" t="s">
        <v>737</v>
      </c>
      <c r="H43" s="1" cm="1">
        <f t="array" ref="H43">IF(TRIM(G43)="",
   MEDIAN(IFERROR(--SUBSTITUTE(SUBSTITUTE(SUBSTITUTE(SUBSTITUTE(SUBSTITUTE(SUBSTITUTE(G$2:G$747,"Rs.",""),"INR",""),"₹",""),"â‚¹",""),"$","")," ",""),"")),
   IFERROR(--SUBSTITUTE(SUBSTITUTE(SUBSTITUTE(SUBSTITUTE(SUBSTITUTE(SUBSTITUTE(TRIM(G43),"Rs.",""),"INR",""),"₹",""),"â‚¹",""),"$","")," ",""),"")
)</f>
        <v>3159</v>
      </c>
      <c r="I43" s="1">
        <f t="shared" si="1"/>
        <v>3159</v>
      </c>
      <c r="J43" s="1" t="str">
        <f t="shared" si="2"/>
        <v>Nill</v>
      </c>
      <c r="K43" s="1" t="s">
        <v>25</v>
      </c>
      <c r="L43" s="1" t="s">
        <v>13</v>
      </c>
      <c r="M43" s="1" t="s">
        <v>1253</v>
      </c>
      <c r="N43"/>
    </row>
    <row r="44" spans="1:14" x14ac:dyDescent="0.25">
      <c r="A44" s="1" t="s">
        <v>993</v>
      </c>
      <c r="B44" s="1" t="s">
        <v>16</v>
      </c>
      <c r="C44" s="5">
        <v>45182</v>
      </c>
      <c r="D44" s="6">
        <f t="shared" si="0"/>
        <v>45182</v>
      </c>
      <c r="E44" s="1" t="s">
        <v>20</v>
      </c>
      <c r="F44" s="1" t="s">
        <v>44</v>
      </c>
      <c r="G44" s="1">
        <v>56971</v>
      </c>
      <c r="H44" s="1" cm="1">
        <f t="array" ref="H44">IF(TRIM(G44)="",
   MEDIAN(IFERROR(--SUBSTITUTE(SUBSTITUTE(SUBSTITUTE(SUBSTITUTE(SUBSTITUTE(SUBSTITUTE(G$2:G$747,"Rs.",""),"INR",""),"₹",""),"â‚¹",""),"$","")," ",""),"")),
   IFERROR(--SUBSTITUTE(SUBSTITUTE(SUBSTITUTE(SUBSTITUTE(SUBSTITUTE(SUBSTITUTE(TRIM(G44),"Rs.",""),"INR",""),"₹",""),"â‚¹",""),"$","")," ",""),"")
)</f>
        <v>56971</v>
      </c>
      <c r="I44" s="1" t="str">
        <f t="shared" si="1"/>
        <v>Nill</v>
      </c>
      <c r="J44" s="1">
        <f t="shared" si="2"/>
        <v>56971</v>
      </c>
      <c r="K44" s="1" t="s">
        <v>138</v>
      </c>
      <c r="L44" s="1" t="s">
        <v>167</v>
      </c>
      <c r="M44" s="1" t="s">
        <v>113</v>
      </c>
      <c r="N44"/>
    </row>
    <row r="45" spans="1:14" x14ac:dyDescent="0.25">
      <c r="A45" s="1" t="s">
        <v>721</v>
      </c>
      <c r="B45" s="1" t="s">
        <v>276</v>
      </c>
      <c r="C45" s="1" t="s">
        <v>722</v>
      </c>
      <c r="D45" s="6">
        <f t="shared" si="0"/>
        <v>44694</v>
      </c>
      <c r="E45" s="1" t="s">
        <v>11</v>
      </c>
      <c r="F45" s="1" t="s">
        <v>69</v>
      </c>
      <c r="G45" s="1">
        <v>301</v>
      </c>
      <c r="H45" s="1" cm="1">
        <f t="array" ref="H45">IF(TRIM(G45)="",
   MEDIAN(IFERROR(--SUBSTITUTE(SUBSTITUTE(SUBSTITUTE(SUBSTITUTE(SUBSTITUTE(SUBSTITUTE(G$2:G$747,"Rs.",""),"INR",""),"₹",""),"â‚¹",""),"$","")," ",""),"")),
   IFERROR(--SUBSTITUTE(SUBSTITUTE(SUBSTITUTE(SUBSTITUTE(SUBSTITUTE(SUBSTITUTE(TRIM(G45),"Rs.",""),"INR",""),"₹",""),"â‚¹",""),"$","")," ",""),"")
)</f>
        <v>301</v>
      </c>
      <c r="I45" s="1">
        <f t="shared" si="1"/>
        <v>301</v>
      </c>
      <c r="J45" s="1" t="str">
        <f t="shared" si="2"/>
        <v>Nill</v>
      </c>
      <c r="K45" s="1" t="s">
        <v>110</v>
      </c>
      <c r="L45" s="1" t="s">
        <v>17</v>
      </c>
      <c r="M45" s="1" t="s">
        <v>49</v>
      </c>
      <c r="N45"/>
    </row>
    <row r="46" spans="1:14" x14ac:dyDescent="0.25">
      <c r="A46" s="1" t="s">
        <v>1203</v>
      </c>
      <c r="B46" s="1" t="s">
        <v>219</v>
      </c>
      <c r="C46" s="5">
        <v>45636</v>
      </c>
      <c r="D46" s="6">
        <f t="shared" si="0"/>
        <v>45636</v>
      </c>
      <c r="E46" s="1" t="s">
        <v>11</v>
      </c>
      <c r="F46" s="1" t="s">
        <v>85</v>
      </c>
      <c r="G46" s="1" t="s">
        <v>1204</v>
      </c>
      <c r="H46" s="1" cm="1">
        <f t="array" ref="H46">IF(TRIM(G46)="",
   MEDIAN(IFERROR(--SUBSTITUTE(SUBSTITUTE(SUBSTITUTE(SUBSTITUTE(SUBSTITUTE(SUBSTITUTE(G$2:G$747,"Rs.",""),"INR",""),"₹",""),"â‚¹",""),"$","")," ",""),"")),
   IFERROR(--SUBSTITUTE(SUBSTITUTE(SUBSTITUTE(SUBSTITUTE(SUBSTITUTE(SUBSTITUTE(TRIM(G46),"Rs.",""),"INR",""),"₹",""),"â‚¹",""),"$","")," ",""),"")
)</f>
        <v>4258</v>
      </c>
      <c r="I46" s="1">
        <f t="shared" si="1"/>
        <v>4258</v>
      </c>
      <c r="J46" s="1" t="str">
        <f t="shared" si="2"/>
        <v>Nill</v>
      </c>
      <c r="K46" s="1" t="s">
        <v>75</v>
      </c>
      <c r="L46" s="1" t="s">
        <v>81</v>
      </c>
      <c r="M46" s="1" t="s">
        <v>22</v>
      </c>
      <c r="N46"/>
    </row>
    <row r="47" spans="1:14" x14ac:dyDescent="0.25">
      <c r="A47" s="1" t="s">
        <v>1030</v>
      </c>
      <c r="B47" s="1" t="s">
        <v>399</v>
      </c>
      <c r="C47" s="5">
        <v>45022</v>
      </c>
      <c r="D47" s="6">
        <f t="shared" si="0"/>
        <v>45022</v>
      </c>
      <c r="E47" s="1" t="s">
        <v>11</v>
      </c>
      <c r="F47" s="1" t="s">
        <v>69</v>
      </c>
      <c r="G47" s="1">
        <v>5997</v>
      </c>
      <c r="H47" s="1" cm="1">
        <f t="array" ref="H47">IF(TRIM(G47)="",
   MEDIAN(IFERROR(--SUBSTITUTE(SUBSTITUTE(SUBSTITUTE(SUBSTITUTE(SUBSTITUTE(SUBSTITUTE(G$2:G$747,"Rs.",""),"INR",""),"₹",""),"â‚¹",""),"$","")," ",""),"")),
   IFERROR(--SUBSTITUTE(SUBSTITUTE(SUBSTITUTE(SUBSTITUTE(SUBSTITUTE(SUBSTITUTE(TRIM(G47),"Rs.",""),"INR",""),"₹",""),"â‚¹",""),"$","")," ",""),"")
)</f>
        <v>5997</v>
      </c>
      <c r="I47" s="1">
        <f t="shared" si="1"/>
        <v>5997</v>
      </c>
      <c r="J47" s="1" t="str">
        <f t="shared" si="2"/>
        <v>Nill</v>
      </c>
      <c r="K47" s="1" t="s">
        <v>12</v>
      </c>
      <c r="L47" s="1" t="s">
        <v>81</v>
      </c>
      <c r="M47" s="1" t="s">
        <v>1253</v>
      </c>
      <c r="N47"/>
    </row>
    <row r="48" spans="1:14" x14ac:dyDescent="0.25">
      <c r="A48" s="1" t="s">
        <v>1087</v>
      </c>
      <c r="B48" s="1" t="s">
        <v>90</v>
      </c>
      <c r="D48" s="6" t="str">
        <f t="shared" si="0"/>
        <v>unknown</v>
      </c>
      <c r="E48" s="1" t="s">
        <v>11</v>
      </c>
      <c r="F48" s="1" t="s">
        <v>69</v>
      </c>
      <c r="G48" s="1" t="s">
        <v>1088</v>
      </c>
      <c r="H48" s="1" cm="1">
        <f t="array" ref="H48">IF(TRIM(G48)="",
   MEDIAN(IFERROR(--SUBSTITUTE(SUBSTITUTE(SUBSTITUTE(SUBSTITUTE(SUBSTITUTE(SUBSTITUTE(G$2:G$747,"Rs.",""),"INR",""),"₹",""),"â‚¹",""),"$","")," ",""),"")),
   IFERROR(--SUBSTITUTE(SUBSTITUTE(SUBSTITUTE(SUBSTITUTE(SUBSTITUTE(SUBSTITUTE(TRIM(G48),"Rs.",""),"INR",""),"₹",""),"â‚¹",""),"$","")," ",""),"")
)</f>
        <v>5937</v>
      </c>
      <c r="I48" s="1">
        <f t="shared" si="1"/>
        <v>5937</v>
      </c>
      <c r="J48" s="1" t="str">
        <f t="shared" si="2"/>
        <v>Nill</v>
      </c>
      <c r="K48" s="1" t="s">
        <v>87</v>
      </c>
      <c r="L48" s="1" t="s">
        <v>97</v>
      </c>
      <c r="M48" s="1" t="s">
        <v>255</v>
      </c>
      <c r="N48"/>
    </row>
    <row r="49" spans="1:14" x14ac:dyDescent="0.25">
      <c r="A49" s="1" t="s">
        <v>923</v>
      </c>
      <c r="B49" s="1" t="s">
        <v>274</v>
      </c>
      <c r="C49" s="1" t="s">
        <v>924</v>
      </c>
      <c r="D49" s="6">
        <f t="shared" si="0"/>
        <v>45432</v>
      </c>
      <c r="E49" s="1" t="s">
        <v>11</v>
      </c>
      <c r="F49" s="1" t="s">
        <v>69</v>
      </c>
      <c r="G49" s="1">
        <v>3738</v>
      </c>
      <c r="H49" s="1" cm="1">
        <f t="array" ref="H49">IF(TRIM(G49)="",
   MEDIAN(IFERROR(--SUBSTITUTE(SUBSTITUTE(SUBSTITUTE(SUBSTITUTE(SUBSTITUTE(SUBSTITUTE(G$2:G$747,"Rs.",""),"INR",""),"₹",""),"â‚¹",""),"$","")," ",""),"")),
   IFERROR(--SUBSTITUTE(SUBSTITUTE(SUBSTITUTE(SUBSTITUTE(SUBSTITUTE(SUBSTITUTE(TRIM(G49),"Rs.",""),"INR",""),"₹",""),"â‚¹",""),"$","")," ",""),"")
)</f>
        <v>3738</v>
      </c>
      <c r="I49" s="1">
        <f t="shared" si="1"/>
        <v>3738</v>
      </c>
      <c r="J49" s="1" t="str">
        <f t="shared" si="2"/>
        <v>Nill</v>
      </c>
      <c r="K49" s="1" t="s">
        <v>25</v>
      </c>
      <c r="L49" s="1" t="s">
        <v>198</v>
      </c>
      <c r="M49" s="1" t="s">
        <v>1253</v>
      </c>
      <c r="N49"/>
    </row>
    <row r="50" spans="1:14" x14ac:dyDescent="0.25">
      <c r="A50" s="1" t="s">
        <v>901</v>
      </c>
      <c r="B50" s="1" t="s">
        <v>576</v>
      </c>
      <c r="C50" s="1" t="s">
        <v>902</v>
      </c>
      <c r="D50" s="6">
        <f t="shared" si="0"/>
        <v>45283</v>
      </c>
      <c r="E50" s="1" t="s">
        <v>11</v>
      </c>
      <c r="F50" s="1" t="s">
        <v>171</v>
      </c>
      <c r="G50" s="1">
        <v>3507</v>
      </c>
      <c r="H50" s="1" cm="1">
        <f t="array" ref="H50">IF(TRIM(G50)="",
   MEDIAN(IFERROR(--SUBSTITUTE(SUBSTITUTE(SUBSTITUTE(SUBSTITUTE(SUBSTITUTE(SUBSTITUTE(G$2:G$747,"Rs.",""),"INR",""),"₹",""),"â‚¹",""),"$","")," ",""),"")),
   IFERROR(--SUBSTITUTE(SUBSTITUTE(SUBSTITUTE(SUBSTITUTE(SUBSTITUTE(SUBSTITUTE(TRIM(G50),"Rs.",""),"INR",""),"₹",""),"â‚¹",""),"$","")," ",""),"")
)</f>
        <v>3507</v>
      </c>
      <c r="I50" s="1">
        <f t="shared" si="1"/>
        <v>3507</v>
      </c>
      <c r="J50" s="1" t="str">
        <f t="shared" si="2"/>
        <v>Nill</v>
      </c>
      <c r="K50" s="1" t="s">
        <v>48</v>
      </c>
      <c r="L50" s="1" t="s">
        <v>127</v>
      </c>
      <c r="M50" s="1" t="s">
        <v>1253</v>
      </c>
      <c r="N50"/>
    </row>
    <row r="51" spans="1:14" x14ac:dyDescent="0.25">
      <c r="A51" s="1" t="s">
        <v>528</v>
      </c>
      <c r="B51" s="1" t="s">
        <v>326</v>
      </c>
      <c r="C51" s="5">
        <v>45340</v>
      </c>
      <c r="D51" s="6">
        <f t="shared" si="0"/>
        <v>45340</v>
      </c>
      <c r="E51" s="1" t="s">
        <v>11</v>
      </c>
      <c r="F51" s="1" t="s">
        <v>30</v>
      </c>
      <c r="G51" s="1">
        <v>2398</v>
      </c>
      <c r="H51" s="1" cm="1">
        <f t="array" ref="H51">IF(TRIM(G51)="",
   MEDIAN(IFERROR(--SUBSTITUTE(SUBSTITUTE(SUBSTITUTE(SUBSTITUTE(SUBSTITUTE(SUBSTITUTE(G$2:G$747,"Rs.",""),"INR",""),"₹",""),"â‚¹",""),"$","")," ",""),"")),
   IFERROR(--SUBSTITUTE(SUBSTITUTE(SUBSTITUTE(SUBSTITUTE(SUBSTITUTE(SUBSTITUTE(TRIM(G51),"Rs.",""),"INR",""),"₹",""),"â‚¹",""),"$","")," ",""),"")
)</f>
        <v>2398</v>
      </c>
      <c r="I51" s="1">
        <f t="shared" si="1"/>
        <v>2398</v>
      </c>
      <c r="J51" s="1" t="str">
        <f t="shared" si="2"/>
        <v>Nill</v>
      </c>
      <c r="K51" s="1" t="s">
        <v>75</v>
      </c>
      <c r="L51" s="1" t="s">
        <v>40</v>
      </c>
      <c r="M51" s="1" t="s">
        <v>179</v>
      </c>
      <c r="N51"/>
    </row>
    <row r="52" spans="1:14" x14ac:dyDescent="0.25">
      <c r="A52" s="1" t="s">
        <v>690</v>
      </c>
      <c r="B52" s="1" t="s">
        <v>288</v>
      </c>
      <c r="C52" s="5">
        <v>44873</v>
      </c>
      <c r="D52" s="6">
        <f t="shared" si="0"/>
        <v>44873</v>
      </c>
      <c r="E52" s="1" t="s">
        <v>20</v>
      </c>
      <c r="F52" s="1" t="s">
        <v>112</v>
      </c>
      <c r="G52" s="1">
        <v>43737</v>
      </c>
      <c r="H52" s="1" cm="1">
        <f t="array" ref="H52">IF(TRIM(G52)="",
   MEDIAN(IFERROR(--SUBSTITUTE(SUBSTITUTE(SUBSTITUTE(SUBSTITUTE(SUBSTITUTE(SUBSTITUTE(G$2:G$747,"Rs.",""),"INR",""),"₹",""),"â‚¹",""),"$","")," ",""),"")),
   IFERROR(--SUBSTITUTE(SUBSTITUTE(SUBSTITUTE(SUBSTITUTE(SUBSTITUTE(SUBSTITUTE(TRIM(G52),"Rs.",""),"INR",""),"₹",""),"â‚¹",""),"$","")," ",""),"")
)</f>
        <v>43737</v>
      </c>
      <c r="I52" s="1" t="str">
        <f t="shared" si="1"/>
        <v>Nill</v>
      </c>
      <c r="J52" s="1">
        <f t="shared" si="2"/>
        <v>43737</v>
      </c>
      <c r="K52" s="1" t="s">
        <v>53</v>
      </c>
      <c r="L52" s="1" t="s">
        <v>40</v>
      </c>
      <c r="M52" s="1" t="s">
        <v>122</v>
      </c>
      <c r="N52"/>
    </row>
    <row r="53" spans="1:14" x14ac:dyDescent="0.25">
      <c r="A53" s="1" t="s">
        <v>905</v>
      </c>
      <c r="B53" s="1" t="s">
        <v>148</v>
      </c>
      <c r="C53" s="5">
        <v>44810</v>
      </c>
      <c r="D53" s="6">
        <f t="shared" si="0"/>
        <v>44810</v>
      </c>
      <c r="E53" s="1" t="s">
        <v>20</v>
      </c>
      <c r="F53" s="1" t="s">
        <v>44</v>
      </c>
      <c r="G53" s="1">
        <v>63348</v>
      </c>
      <c r="H53" s="1" cm="1">
        <f t="array" ref="H53">IF(TRIM(G53)="",
   MEDIAN(IFERROR(--SUBSTITUTE(SUBSTITUTE(SUBSTITUTE(SUBSTITUTE(SUBSTITUTE(SUBSTITUTE(G$2:G$747,"Rs.",""),"INR",""),"₹",""),"â‚¹",""),"$","")," ",""),"")),
   IFERROR(--SUBSTITUTE(SUBSTITUTE(SUBSTITUTE(SUBSTITUTE(SUBSTITUTE(SUBSTITUTE(TRIM(G53),"Rs.",""),"INR",""),"₹",""),"â‚¹",""),"$","")," ",""),"")
)</f>
        <v>63348</v>
      </c>
      <c r="I53" s="1" t="str">
        <f t="shared" si="1"/>
        <v>Nill</v>
      </c>
      <c r="J53" s="1">
        <f t="shared" si="2"/>
        <v>63348</v>
      </c>
      <c r="K53" s="1" t="s">
        <v>110</v>
      </c>
      <c r="L53" s="1" t="s">
        <v>217</v>
      </c>
      <c r="M53" s="1" t="s">
        <v>210</v>
      </c>
      <c r="N53"/>
    </row>
    <row r="54" spans="1:14" x14ac:dyDescent="0.25">
      <c r="A54" s="1" t="s">
        <v>783</v>
      </c>
      <c r="B54" s="1" t="s">
        <v>487</v>
      </c>
      <c r="C54" s="1" t="s">
        <v>784</v>
      </c>
      <c r="D54" s="6">
        <f t="shared" si="0"/>
        <v>44465</v>
      </c>
      <c r="E54" s="1" t="s">
        <v>11</v>
      </c>
      <c r="F54" s="1" t="s">
        <v>69</v>
      </c>
      <c r="G54" s="1">
        <v>2511</v>
      </c>
      <c r="H54" s="1" cm="1">
        <f t="array" ref="H54">IF(TRIM(G54)="",
   MEDIAN(IFERROR(--SUBSTITUTE(SUBSTITUTE(SUBSTITUTE(SUBSTITUTE(SUBSTITUTE(SUBSTITUTE(G$2:G$747,"Rs.",""),"INR",""),"₹",""),"â‚¹",""),"$","")," ",""),"")),
   IFERROR(--SUBSTITUTE(SUBSTITUTE(SUBSTITUTE(SUBSTITUTE(SUBSTITUTE(SUBSTITUTE(TRIM(G54),"Rs.",""),"INR",""),"₹",""),"â‚¹",""),"$","")," ",""),"")
)</f>
        <v>2511</v>
      </c>
      <c r="I54" s="1">
        <f t="shared" si="1"/>
        <v>2511</v>
      </c>
      <c r="J54" s="1" t="str">
        <f t="shared" si="2"/>
        <v>Nill</v>
      </c>
      <c r="K54" s="1" t="s">
        <v>12</v>
      </c>
      <c r="L54" s="1" t="s">
        <v>299</v>
      </c>
      <c r="M54" s="1" t="s">
        <v>128</v>
      </c>
      <c r="N54"/>
    </row>
    <row r="55" spans="1:14" x14ac:dyDescent="0.25">
      <c r="A55" s="1" t="s">
        <v>447</v>
      </c>
      <c r="B55" s="1" t="s">
        <v>19</v>
      </c>
      <c r="C55" s="5">
        <v>44615</v>
      </c>
      <c r="D55" s="6">
        <f t="shared" si="0"/>
        <v>44615</v>
      </c>
      <c r="E55" s="1" t="s">
        <v>20</v>
      </c>
      <c r="F55" s="1" t="s">
        <v>21</v>
      </c>
      <c r="G55" s="1">
        <v>50009</v>
      </c>
      <c r="H55" s="1" cm="1">
        <f t="array" ref="H55">IF(TRIM(G55)="",
   MEDIAN(IFERROR(--SUBSTITUTE(SUBSTITUTE(SUBSTITUTE(SUBSTITUTE(SUBSTITUTE(SUBSTITUTE(G$2:G$747,"Rs.",""),"INR",""),"₹",""),"â‚¹",""),"$","")," ",""),"")),
   IFERROR(--SUBSTITUTE(SUBSTITUTE(SUBSTITUTE(SUBSTITUTE(SUBSTITUTE(SUBSTITUTE(TRIM(G55),"Rs.",""),"INR",""),"₹",""),"â‚¹",""),"$","")," ",""),"")
)</f>
        <v>50009</v>
      </c>
      <c r="I55" s="1" t="str">
        <f t="shared" si="1"/>
        <v>Nill</v>
      </c>
      <c r="J55" s="1">
        <f t="shared" si="2"/>
        <v>50009</v>
      </c>
      <c r="K55" s="1" t="s">
        <v>25</v>
      </c>
      <c r="L55" s="1" t="s">
        <v>167</v>
      </c>
      <c r="M55" s="1" t="s">
        <v>1253</v>
      </c>
      <c r="N55"/>
    </row>
    <row r="56" spans="1:14" x14ac:dyDescent="0.25">
      <c r="A56" s="1" t="s">
        <v>221</v>
      </c>
      <c r="B56" s="1" t="s">
        <v>222</v>
      </c>
      <c r="C56" s="5">
        <v>45541</v>
      </c>
      <c r="D56" s="6">
        <f t="shared" si="0"/>
        <v>45541</v>
      </c>
      <c r="E56" s="1" t="s">
        <v>11</v>
      </c>
      <c r="F56" s="1" t="s">
        <v>1253</v>
      </c>
      <c r="G56" s="1">
        <v>6228</v>
      </c>
      <c r="H56" s="1" cm="1">
        <f t="array" ref="H56">IF(TRIM(G56)="",
   MEDIAN(IFERROR(--SUBSTITUTE(SUBSTITUTE(SUBSTITUTE(SUBSTITUTE(SUBSTITUTE(SUBSTITUTE(G$2:G$747,"Rs.",""),"INR",""),"₹",""),"â‚¹",""),"$","")," ",""),"")),
   IFERROR(--SUBSTITUTE(SUBSTITUTE(SUBSTITUTE(SUBSTITUTE(SUBSTITUTE(SUBSTITUTE(TRIM(G56),"Rs.",""),"INR",""),"₹",""),"â‚¹",""),"$","")," ",""),"")
)</f>
        <v>6228</v>
      </c>
      <c r="I56" s="1">
        <f t="shared" si="1"/>
        <v>6228</v>
      </c>
      <c r="J56" s="1" t="str">
        <f t="shared" si="2"/>
        <v>Nill</v>
      </c>
      <c r="K56" s="1" t="s">
        <v>138</v>
      </c>
      <c r="L56" s="1" t="s">
        <v>17</v>
      </c>
      <c r="M56" s="1" t="s">
        <v>1253</v>
      </c>
      <c r="N56"/>
    </row>
    <row r="57" spans="1:14" x14ac:dyDescent="0.25">
      <c r="A57" s="1" t="s">
        <v>1185</v>
      </c>
      <c r="B57" s="1" t="s">
        <v>267</v>
      </c>
      <c r="C57" s="5">
        <v>45148</v>
      </c>
      <c r="D57" s="6">
        <f t="shared" si="0"/>
        <v>45148</v>
      </c>
      <c r="E57" s="1" t="s">
        <v>11</v>
      </c>
      <c r="F57" s="1" t="s">
        <v>104</v>
      </c>
      <c r="G57" s="1">
        <v>1317</v>
      </c>
      <c r="H57" s="1" cm="1">
        <f t="array" ref="H57">IF(TRIM(G57)="",
   MEDIAN(IFERROR(--SUBSTITUTE(SUBSTITUTE(SUBSTITUTE(SUBSTITUTE(SUBSTITUTE(SUBSTITUTE(G$2:G$747,"Rs.",""),"INR",""),"₹",""),"â‚¹",""),"$","")," ",""),"")),
   IFERROR(--SUBSTITUTE(SUBSTITUTE(SUBSTITUTE(SUBSTITUTE(SUBSTITUTE(SUBSTITUTE(TRIM(G57),"Rs.",""),"INR",""),"₹",""),"â‚¹",""),"$","")," ",""),"")
)</f>
        <v>1317</v>
      </c>
      <c r="I57" s="1">
        <f t="shared" si="1"/>
        <v>1317</v>
      </c>
      <c r="J57" s="1" t="str">
        <f t="shared" si="2"/>
        <v>Nill</v>
      </c>
      <c r="K57" s="1" t="s">
        <v>53</v>
      </c>
      <c r="L57" s="1" t="s">
        <v>167</v>
      </c>
      <c r="M57" s="1" t="s">
        <v>179</v>
      </c>
      <c r="N57"/>
    </row>
    <row r="58" spans="1:14" x14ac:dyDescent="0.25">
      <c r="A58" s="1" t="s">
        <v>523</v>
      </c>
      <c r="B58" s="1" t="s">
        <v>108</v>
      </c>
      <c r="C58" s="1" t="s">
        <v>524</v>
      </c>
      <c r="D58" s="6">
        <f t="shared" si="0"/>
        <v>45348</v>
      </c>
      <c r="E58" s="1" t="s">
        <v>11</v>
      </c>
      <c r="F58" s="1" t="s">
        <v>85</v>
      </c>
      <c r="G58" s="1" t="s">
        <v>525</v>
      </c>
      <c r="H58" s="1" cm="1">
        <f t="array" ref="H58">IF(TRIM(G58)="",
   MEDIAN(IFERROR(--SUBSTITUTE(SUBSTITUTE(SUBSTITUTE(SUBSTITUTE(SUBSTITUTE(SUBSTITUTE(G$2:G$747,"Rs.",""),"INR",""),"₹",""),"â‚¹",""),"$","")," ",""),"")),
   IFERROR(--SUBSTITUTE(SUBSTITUTE(SUBSTITUTE(SUBSTITUTE(SUBSTITUTE(SUBSTITUTE(TRIM(G58),"Rs.",""),"INR",""),"₹",""),"â‚¹",""),"$","")," ",""),"")
)</f>
        <v>9750</v>
      </c>
      <c r="I58" s="1">
        <f t="shared" si="1"/>
        <v>9750</v>
      </c>
      <c r="J58" s="1" t="str">
        <f t="shared" si="2"/>
        <v>Nill</v>
      </c>
      <c r="K58" s="1" t="s">
        <v>53</v>
      </c>
      <c r="L58" s="1" t="s">
        <v>198</v>
      </c>
      <c r="M58" s="1" t="s">
        <v>76</v>
      </c>
      <c r="N58"/>
    </row>
    <row r="59" spans="1:14" x14ac:dyDescent="0.25">
      <c r="A59" s="1" t="s">
        <v>244</v>
      </c>
      <c r="B59" s="1" t="s">
        <v>78</v>
      </c>
      <c r="C59" s="1" t="s">
        <v>245</v>
      </c>
      <c r="D59" s="6">
        <f t="shared" si="0"/>
        <v>44970</v>
      </c>
      <c r="E59" s="1" t="s">
        <v>11</v>
      </c>
      <c r="F59" s="1" t="s">
        <v>171</v>
      </c>
      <c r="G59" s="1">
        <v>2962</v>
      </c>
      <c r="H59" s="1" cm="1">
        <f t="array" ref="H59">IF(TRIM(G59)="",
   MEDIAN(IFERROR(--SUBSTITUTE(SUBSTITUTE(SUBSTITUTE(SUBSTITUTE(SUBSTITUTE(SUBSTITUTE(G$2:G$747,"Rs.",""),"INR",""),"₹",""),"â‚¹",""),"$","")," ",""),"")),
   IFERROR(--SUBSTITUTE(SUBSTITUTE(SUBSTITUTE(SUBSTITUTE(SUBSTITUTE(SUBSTITUTE(TRIM(G59),"Rs.",""),"INR",""),"₹",""),"â‚¹",""),"$","")," ",""),"")
)</f>
        <v>2962</v>
      </c>
      <c r="I59" s="1">
        <f t="shared" si="1"/>
        <v>2962</v>
      </c>
      <c r="J59" s="1" t="str">
        <f t="shared" si="2"/>
        <v>Nill</v>
      </c>
      <c r="K59" s="1" t="s">
        <v>172</v>
      </c>
      <c r="L59" s="1" t="s">
        <v>13</v>
      </c>
      <c r="M59" s="1" t="s">
        <v>22</v>
      </c>
      <c r="N59"/>
    </row>
    <row r="60" spans="1:14" x14ac:dyDescent="0.25">
      <c r="A60" s="1" t="s">
        <v>1027</v>
      </c>
      <c r="B60" s="1" t="s">
        <v>450</v>
      </c>
      <c r="C60" s="5">
        <v>45646</v>
      </c>
      <c r="D60" s="6">
        <f t="shared" si="0"/>
        <v>45646</v>
      </c>
      <c r="E60" s="1" t="s">
        <v>20</v>
      </c>
      <c r="F60" s="1" t="s">
        <v>44</v>
      </c>
      <c r="G60" s="1">
        <v>14297</v>
      </c>
      <c r="H60" s="1" cm="1">
        <f t="array" ref="H60">IF(TRIM(G60)="",
   MEDIAN(IFERROR(--SUBSTITUTE(SUBSTITUTE(SUBSTITUTE(SUBSTITUTE(SUBSTITUTE(SUBSTITUTE(G$2:G$747,"Rs.",""),"INR",""),"₹",""),"â‚¹",""),"$","")," ",""),"")),
   IFERROR(--SUBSTITUTE(SUBSTITUTE(SUBSTITUTE(SUBSTITUTE(SUBSTITUTE(SUBSTITUTE(TRIM(G60),"Rs.",""),"INR",""),"₹",""),"â‚¹",""),"$","")," ",""),"")
)</f>
        <v>14297</v>
      </c>
      <c r="I60" s="1" t="str">
        <f t="shared" si="1"/>
        <v>Nill</v>
      </c>
      <c r="J60" s="1">
        <f t="shared" si="2"/>
        <v>14297</v>
      </c>
      <c r="K60" s="1" t="s">
        <v>25</v>
      </c>
      <c r="L60" s="1" t="s">
        <v>198</v>
      </c>
      <c r="M60" s="1" t="s">
        <v>26</v>
      </c>
      <c r="N60"/>
    </row>
    <row r="61" spans="1:14" x14ac:dyDescent="0.25">
      <c r="A61" s="1" t="s">
        <v>526</v>
      </c>
      <c r="B61" s="1" t="s">
        <v>527</v>
      </c>
      <c r="C61" s="5">
        <v>44488</v>
      </c>
      <c r="D61" s="6">
        <f t="shared" si="0"/>
        <v>44488</v>
      </c>
      <c r="E61" s="1" t="s">
        <v>11</v>
      </c>
      <c r="F61" s="1" t="s">
        <v>171</v>
      </c>
      <c r="G61" s="1">
        <v>6484</v>
      </c>
      <c r="H61" s="1" cm="1">
        <f t="array" ref="H61">IF(TRIM(G61)="",
   MEDIAN(IFERROR(--SUBSTITUTE(SUBSTITUTE(SUBSTITUTE(SUBSTITUTE(SUBSTITUTE(SUBSTITUTE(G$2:G$747,"Rs.",""),"INR",""),"₹",""),"â‚¹",""),"$","")," ",""),"")),
   IFERROR(--SUBSTITUTE(SUBSTITUTE(SUBSTITUTE(SUBSTITUTE(SUBSTITUTE(SUBSTITUTE(TRIM(G61),"Rs.",""),"INR",""),"₹",""),"â‚¹",""),"$","")," ",""),"")
)</f>
        <v>6484</v>
      </c>
      <c r="I61" s="1">
        <f t="shared" si="1"/>
        <v>6484</v>
      </c>
      <c r="J61" s="1" t="str">
        <f t="shared" si="2"/>
        <v>Nill</v>
      </c>
      <c r="K61" s="1" t="s">
        <v>172</v>
      </c>
      <c r="L61" s="1" t="s">
        <v>97</v>
      </c>
      <c r="M61" s="1" t="s">
        <v>252</v>
      </c>
      <c r="N61"/>
    </row>
    <row r="62" spans="1:14" x14ac:dyDescent="0.25">
      <c r="A62" s="1" t="s">
        <v>788</v>
      </c>
      <c r="B62" s="1" t="s">
        <v>184</v>
      </c>
      <c r="C62" s="1" t="s">
        <v>789</v>
      </c>
      <c r="D62" s="6">
        <f t="shared" si="0"/>
        <v>45372</v>
      </c>
      <c r="E62" s="1" t="s">
        <v>20</v>
      </c>
      <c r="F62" s="1" t="s">
        <v>21</v>
      </c>
      <c r="G62" s="1">
        <v>33170</v>
      </c>
      <c r="H62" s="1" cm="1">
        <f t="array" ref="H62">IF(TRIM(G62)="",
   MEDIAN(IFERROR(--SUBSTITUTE(SUBSTITUTE(SUBSTITUTE(SUBSTITUTE(SUBSTITUTE(SUBSTITUTE(G$2:G$747,"Rs.",""),"INR",""),"₹",""),"â‚¹",""),"$","")," ",""),"")),
   IFERROR(--SUBSTITUTE(SUBSTITUTE(SUBSTITUTE(SUBSTITUTE(SUBSTITUTE(SUBSTITUTE(TRIM(G62),"Rs.",""),"INR",""),"₹",""),"â‚¹",""),"$","")," ",""),"")
)</f>
        <v>33170</v>
      </c>
      <c r="I62" s="1" t="str">
        <f t="shared" si="1"/>
        <v>Nill</v>
      </c>
      <c r="J62" s="1">
        <f t="shared" si="2"/>
        <v>33170</v>
      </c>
      <c r="K62" s="1" t="s">
        <v>110</v>
      </c>
      <c r="L62" s="1" t="s">
        <v>217</v>
      </c>
      <c r="M62" s="1" t="s">
        <v>70</v>
      </c>
      <c r="N62"/>
    </row>
    <row r="63" spans="1:14" x14ac:dyDescent="0.25">
      <c r="A63" s="1" t="s">
        <v>1055</v>
      </c>
      <c r="B63" s="1" t="s">
        <v>254</v>
      </c>
      <c r="C63" s="5">
        <v>44715</v>
      </c>
      <c r="D63" s="6">
        <f t="shared" si="0"/>
        <v>44715</v>
      </c>
      <c r="E63" s="1" t="s">
        <v>11</v>
      </c>
      <c r="F63" s="1" t="s">
        <v>69</v>
      </c>
      <c r="G63" s="1">
        <v>6432</v>
      </c>
      <c r="H63" s="1" cm="1">
        <f t="array" ref="H63">IF(TRIM(G63)="",
   MEDIAN(IFERROR(--SUBSTITUTE(SUBSTITUTE(SUBSTITUTE(SUBSTITUTE(SUBSTITUTE(SUBSTITUTE(G$2:G$747,"Rs.",""),"INR",""),"₹",""),"â‚¹",""),"$","")," ",""),"")),
   IFERROR(--SUBSTITUTE(SUBSTITUTE(SUBSTITUTE(SUBSTITUTE(SUBSTITUTE(SUBSTITUTE(TRIM(G63),"Rs.",""),"INR",""),"₹",""),"â‚¹",""),"$","")," ",""),"")
)</f>
        <v>6432</v>
      </c>
      <c r="I63" s="1">
        <f t="shared" si="1"/>
        <v>6432</v>
      </c>
      <c r="J63" s="1" t="str">
        <f t="shared" si="2"/>
        <v>Nill</v>
      </c>
      <c r="K63" s="1" t="s">
        <v>110</v>
      </c>
      <c r="L63" s="1" t="s">
        <v>299</v>
      </c>
      <c r="M63" s="1" t="s">
        <v>1253</v>
      </c>
      <c r="N63"/>
    </row>
    <row r="64" spans="1:14" x14ac:dyDescent="0.25">
      <c r="A64" s="1" t="s">
        <v>575</v>
      </c>
      <c r="B64" s="1" t="s">
        <v>576</v>
      </c>
      <c r="C64" s="5">
        <v>44268</v>
      </c>
      <c r="D64" s="6">
        <f t="shared" si="0"/>
        <v>44268</v>
      </c>
      <c r="E64" s="1" t="s">
        <v>20</v>
      </c>
      <c r="F64" s="1" t="s">
        <v>21</v>
      </c>
      <c r="G64" s="1">
        <v>46587</v>
      </c>
      <c r="H64" s="1" cm="1">
        <f t="array" ref="H64">IF(TRIM(G64)="",
   MEDIAN(IFERROR(--SUBSTITUTE(SUBSTITUTE(SUBSTITUTE(SUBSTITUTE(SUBSTITUTE(SUBSTITUTE(G$2:G$747,"Rs.",""),"INR",""),"₹",""),"â‚¹",""),"$","")," ",""),"")),
   IFERROR(--SUBSTITUTE(SUBSTITUTE(SUBSTITUTE(SUBSTITUTE(SUBSTITUTE(SUBSTITUTE(TRIM(G64),"Rs.",""),"INR",""),"₹",""),"â‚¹",""),"$","")," ",""),"")
)</f>
        <v>46587</v>
      </c>
      <c r="I64" s="1" t="str">
        <f t="shared" si="1"/>
        <v>Nill</v>
      </c>
      <c r="J64" s="1">
        <f t="shared" si="2"/>
        <v>46587</v>
      </c>
      <c r="K64" s="1" t="s">
        <v>12</v>
      </c>
      <c r="L64" s="1" t="s">
        <v>40</v>
      </c>
      <c r="M64" s="1" t="s">
        <v>1253</v>
      </c>
      <c r="N64"/>
    </row>
    <row r="65" spans="1:14" x14ac:dyDescent="0.25">
      <c r="A65" s="1" t="s">
        <v>757</v>
      </c>
      <c r="B65" s="1" t="s">
        <v>283</v>
      </c>
      <c r="C65" s="1" t="s">
        <v>758</v>
      </c>
      <c r="D65" s="6">
        <f t="shared" si="0"/>
        <v>45320</v>
      </c>
      <c r="E65" s="1" t="s">
        <v>11</v>
      </c>
      <c r="F65" s="1" t="s">
        <v>759</v>
      </c>
      <c r="G65" s="1">
        <v>5277</v>
      </c>
      <c r="H65" s="1" cm="1">
        <f t="array" ref="H65">IF(TRIM(G65)="",
   MEDIAN(IFERROR(--SUBSTITUTE(SUBSTITUTE(SUBSTITUTE(SUBSTITUTE(SUBSTITUTE(SUBSTITUTE(G$2:G$747,"Rs.",""),"INR",""),"₹",""),"â‚¹",""),"$","")," ",""),"")),
   IFERROR(--SUBSTITUTE(SUBSTITUTE(SUBSTITUTE(SUBSTITUTE(SUBSTITUTE(SUBSTITUTE(TRIM(G65),"Rs.",""),"INR",""),"₹",""),"â‚¹",""),"$","")," ",""),"")
)</f>
        <v>5277</v>
      </c>
      <c r="I65" s="1">
        <f t="shared" si="1"/>
        <v>5277</v>
      </c>
      <c r="J65" s="1" t="str">
        <f t="shared" si="2"/>
        <v>Nill</v>
      </c>
      <c r="K65" s="1" t="s">
        <v>53</v>
      </c>
      <c r="L65" s="1" t="s">
        <v>217</v>
      </c>
      <c r="M65" s="1" t="s">
        <v>1253</v>
      </c>
      <c r="N65"/>
    </row>
    <row r="66" spans="1:14" x14ac:dyDescent="0.25">
      <c r="A66" s="1" t="s">
        <v>1201</v>
      </c>
      <c r="B66" s="1" t="s">
        <v>428</v>
      </c>
      <c r="C66" s="5">
        <v>44461</v>
      </c>
      <c r="D66" s="6">
        <f t="shared" ref="D66:D129" si="3">IF(ISBLANK(C66),("unknown"),IF(ISNUMBER(C66),C66,DATE(RIGHT(C66,4),LEFT(C66,2),MID(C66,4,2))))</f>
        <v>44461</v>
      </c>
      <c r="E66" s="1" t="s">
        <v>11</v>
      </c>
      <c r="F66" s="1" t="s">
        <v>30</v>
      </c>
      <c r="G66" s="1" t="s">
        <v>1202</v>
      </c>
      <c r="H66" s="1" cm="1">
        <f t="array" ref="H66">IF(TRIM(G66)="",
   MEDIAN(IFERROR(--SUBSTITUTE(SUBSTITUTE(SUBSTITUTE(SUBSTITUTE(SUBSTITUTE(SUBSTITUTE(G$2:G$747,"Rs.",""),"INR",""),"₹",""),"â‚¹",""),"$","")," ",""),"")),
   IFERROR(--SUBSTITUTE(SUBSTITUTE(SUBSTITUTE(SUBSTITUTE(SUBSTITUTE(SUBSTITUTE(TRIM(G66),"Rs.",""),"INR",""),"₹",""),"â‚¹",""),"$","")," ",""),"")
)</f>
        <v>7245</v>
      </c>
      <c r="I66" s="1">
        <f t="shared" ref="I66:I129" si="4">IF(E66="Expense",H66,"Nill")</f>
        <v>7245</v>
      </c>
      <c r="J66" s="1" t="str">
        <f t="shared" ref="J66:J129" si="5">IF(E66="Income",H66,"Nill")</f>
        <v>Nill</v>
      </c>
      <c r="K66" s="1" t="s">
        <v>138</v>
      </c>
      <c r="L66" s="1" t="s">
        <v>198</v>
      </c>
      <c r="M66" s="1" t="s">
        <v>76</v>
      </c>
      <c r="N66"/>
    </row>
    <row r="67" spans="1:14" x14ac:dyDescent="0.25">
      <c r="A67" s="1" t="s">
        <v>356</v>
      </c>
      <c r="B67" s="1" t="s">
        <v>135</v>
      </c>
      <c r="C67" s="5">
        <v>44706</v>
      </c>
      <c r="D67" s="6">
        <f t="shared" si="3"/>
        <v>44706</v>
      </c>
      <c r="E67" s="1" t="s">
        <v>11</v>
      </c>
      <c r="F67" s="1" t="s">
        <v>465</v>
      </c>
      <c r="G67" s="1" t="s">
        <v>357</v>
      </c>
      <c r="H67" s="1" cm="1">
        <f t="array" ref="H67">IF(TRIM(G67)="",
   MEDIAN(IFERROR(--SUBSTITUTE(SUBSTITUTE(SUBSTITUTE(SUBSTITUTE(SUBSTITUTE(SUBSTITUTE(G$2:G$747,"Rs.",""),"INR",""),"₹",""),"â‚¹",""),"$","")," ",""),"")),
   IFERROR(--SUBSTITUTE(SUBSTITUTE(SUBSTITUTE(SUBSTITUTE(SUBSTITUTE(SUBSTITUTE(TRIM(G67),"Rs.",""),"INR",""),"₹",""),"â‚¹",""),"$","")," ",""),"")
)</f>
        <v>4201</v>
      </c>
      <c r="I67" s="1">
        <f t="shared" si="4"/>
        <v>4201</v>
      </c>
      <c r="J67" s="1" t="str">
        <f t="shared" si="5"/>
        <v>Nill</v>
      </c>
      <c r="K67" s="1" t="s">
        <v>25</v>
      </c>
      <c r="L67" s="1" t="s">
        <v>217</v>
      </c>
      <c r="M67" s="1" t="s">
        <v>128</v>
      </c>
      <c r="N67"/>
    </row>
    <row r="68" spans="1:14" x14ac:dyDescent="0.25">
      <c r="A68" s="1" t="s">
        <v>977</v>
      </c>
      <c r="B68" s="1" t="s">
        <v>219</v>
      </c>
      <c r="C68" s="5">
        <v>44686</v>
      </c>
      <c r="D68" s="6">
        <f t="shared" si="3"/>
        <v>44686</v>
      </c>
      <c r="E68" s="1" t="s">
        <v>20</v>
      </c>
      <c r="F68" s="1" t="s">
        <v>21</v>
      </c>
      <c r="G68" s="1" t="s">
        <v>978</v>
      </c>
      <c r="H68" s="1" cm="1">
        <f t="array" ref="H68">IF(TRIM(G68)="",
   MEDIAN(IFERROR(--SUBSTITUTE(SUBSTITUTE(SUBSTITUTE(SUBSTITUTE(SUBSTITUTE(SUBSTITUTE(G$2:G$747,"Rs.",""),"INR",""),"₹",""),"â‚¹",""),"$","")," ",""),"")),
   IFERROR(--SUBSTITUTE(SUBSTITUTE(SUBSTITUTE(SUBSTITUTE(SUBSTITUTE(SUBSTITUTE(TRIM(G68),"Rs.",""),"INR",""),"₹",""),"â‚¹",""),"$","")," ",""),"")
)</f>
        <v>46281</v>
      </c>
      <c r="I68" s="1" t="str">
        <f t="shared" si="4"/>
        <v>Nill</v>
      </c>
      <c r="J68" s="1">
        <f t="shared" si="5"/>
        <v>46281</v>
      </c>
      <c r="K68" s="1" t="s">
        <v>48</v>
      </c>
      <c r="L68" s="1" t="s">
        <v>17</v>
      </c>
      <c r="M68" s="1" t="s">
        <v>190</v>
      </c>
      <c r="N68"/>
    </row>
    <row r="69" spans="1:14" x14ac:dyDescent="0.25">
      <c r="A69" s="1" t="s">
        <v>760</v>
      </c>
      <c r="B69" s="1" t="s">
        <v>344</v>
      </c>
      <c r="C69" s="5">
        <v>44402</v>
      </c>
      <c r="D69" s="6">
        <f t="shared" si="3"/>
        <v>44402</v>
      </c>
      <c r="E69" s="1" t="s">
        <v>11</v>
      </c>
      <c r="F69" s="1" t="s">
        <v>171</v>
      </c>
      <c r="G69" s="1" t="s">
        <v>761</v>
      </c>
      <c r="H69" s="1" cm="1">
        <f t="array" ref="H69">IF(TRIM(G69)="",
   MEDIAN(IFERROR(--SUBSTITUTE(SUBSTITUTE(SUBSTITUTE(SUBSTITUTE(SUBSTITUTE(SUBSTITUTE(G$2:G$747,"Rs.",""),"INR",""),"₹",""),"â‚¹",""),"$","")," ",""),"")),
   IFERROR(--SUBSTITUTE(SUBSTITUTE(SUBSTITUTE(SUBSTITUTE(SUBSTITUTE(SUBSTITUTE(TRIM(G69),"Rs.",""),"INR",""),"₹",""),"â‚¹",""),"$","")," ",""),"")
)</f>
        <v>47843</v>
      </c>
      <c r="I69" s="1">
        <f t="shared" si="4"/>
        <v>47843</v>
      </c>
      <c r="J69" s="1" t="str">
        <f t="shared" si="5"/>
        <v>Nill</v>
      </c>
      <c r="K69" s="1" t="s">
        <v>87</v>
      </c>
      <c r="L69" s="1" t="s">
        <v>217</v>
      </c>
      <c r="M69" s="1" t="s">
        <v>190</v>
      </c>
      <c r="N69"/>
    </row>
    <row r="70" spans="1:14" x14ac:dyDescent="0.25">
      <c r="A70" s="1" t="s">
        <v>182</v>
      </c>
      <c r="B70" s="1" t="s">
        <v>130</v>
      </c>
      <c r="D70" s="6" t="str">
        <f t="shared" si="3"/>
        <v>unknown</v>
      </c>
      <c r="E70" s="1" t="s">
        <v>11</v>
      </c>
      <c r="F70" s="1" t="s">
        <v>171</v>
      </c>
      <c r="G70" s="1">
        <v>8182</v>
      </c>
      <c r="H70" s="1" cm="1">
        <f t="array" ref="H70">IF(TRIM(G70)="",
   MEDIAN(IFERROR(--SUBSTITUTE(SUBSTITUTE(SUBSTITUTE(SUBSTITUTE(SUBSTITUTE(SUBSTITUTE(G$2:G$747,"Rs.",""),"INR",""),"₹",""),"â‚¹",""),"$","")," ",""),"")),
   IFERROR(--SUBSTITUTE(SUBSTITUTE(SUBSTITUTE(SUBSTITUTE(SUBSTITUTE(SUBSTITUTE(TRIM(G70),"Rs.",""),"INR",""),"₹",""),"â‚¹",""),"$","")," ",""),"")
)</f>
        <v>8182</v>
      </c>
      <c r="I70" s="1">
        <f t="shared" si="4"/>
        <v>8182</v>
      </c>
      <c r="J70" s="1" t="str">
        <f t="shared" si="5"/>
        <v>Nill</v>
      </c>
      <c r="K70" s="1" t="s">
        <v>138</v>
      </c>
      <c r="L70" s="1" t="s">
        <v>1252</v>
      </c>
      <c r="M70" s="1" t="s">
        <v>35</v>
      </c>
      <c r="N70"/>
    </row>
    <row r="71" spans="1:14" x14ac:dyDescent="0.25">
      <c r="A71" s="1" t="s">
        <v>474</v>
      </c>
      <c r="B71" s="1" t="s">
        <v>103</v>
      </c>
      <c r="C71" s="5">
        <v>45144</v>
      </c>
      <c r="D71" s="6">
        <f t="shared" si="3"/>
        <v>45144</v>
      </c>
      <c r="E71" s="1" t="s">
        <v>20</v>
      </c>
      <c r="F71" s="1" t="s">
        <v>21</v>
      </c>
      <c r="H71" s="1" cm="1">
        <f t="array" ref="H71">IF(TRIM(G71)="",
   MEDIAN(IFERROR(--SUBSTITUTE(SUBSTITUTE(SUBSTITUTE(SUBSTITUTE(SUBSTITUTE(SUBSTITUTE(G$2:G$747,"Rs.",""),"INR",""),"₹",""),"â‚¹",""),"$","")," ",""),"")),
   IFERROR(--SUBSTITUTE(SUBSTITUTE(SUBSTITUTE(SUBSTITUTE(SUBSTITUTE(SUBSTITUTE(TRIM(G71),"Rs.",""),"INR",""),"₹",""),"â‚¹",""),"$","")," ",""),"")
)</f>
        <v>5935</v>
      </c>
      <c r="I71" s="1" t="str">
        <f t="shared" si="4"/>
        <v>Nill</v>
      </c>
      <c r="J71" s="1">
        <f t="shared" si="5"/>
        <v>5935</v>
      </c>
      <c r="K71" s="1" t="s">
        <v>25</v>
      </c>
      <c r="L71" s="1" t="s">
        <v>127</v>
      </c>
      <c r="M71" s="1" t="s">
        <v>26</v>
      </c>
      <c r="N71"/>
    </row>
    <row r="72" spans="1:14" x14ac:dyDescent="0.25">
      <c r="A72" s="1" t="s">
        <v>554</v>
      </c>
      <c r="B72" s="1" t="s">
        <v>103</v>
      </c>
      <c r="C72" s="1" t="s">
        <v>555</v>
      </c>
      <c r="D72" s="6">
        <f t="shared" si="3"/>
        <v>44854</v>
      </c>
      <c r="E72" s="1" t="s">
        <v>11</v>
      </c>
      <c r="F72" s="1" t="s">
        <v>85</v>
      </c>
      <c r="G72" s="1">
        <v>3942</v>
      </c>
      <c r="H72" s="1" cm="1">
        <f t="array" ref="H72">IF(TRIM(G72)="",
   MEDIAN(IFERROR(--SUBSTITUTE(SUBSTITUTE(SUBSTITUTE(SUBSTITUTE(SUBSTITUTE(SUBSTITUTE(G$2:G$747,"Rs.",""),"INR",""),"₹",""),"â‚¹",""),"$","")," ",""),"")),
   IFERROR(--SUBSTITUTE(SUBSTITUTE(SUBSTITUTE(SUBSTITUTE(SUBSTITUTE(SUBSTITUTE(TRIM(G72),"Rs.",""),"INR",""),"₹",""),"â‚¹",""),"$","")," ",""),"")
)</f>
        <v>3942</v>
      </c>
      <c r="I72" s="1">
        <f t="shared" si="4"/>
        <v>3942</v>
      </c>
      <c r="J72" s="1" t="str">
        <f t="shared" si="5"/>
        <v>Nill</v>
      </c>
      <c r="K72" s="1" t="s">
        <v>25</v>
      </c>
      <c r="L72" s="1" t="s">
        <v>40</v>
      </c>
      <c r="M72" s="1" t="s">
        <v>1253</v>
      </c>
      <c r="N72"/>
    </row>
    <row r="73" spans="1:14" x14ac:dyDescent="0.25">
      <c r="A73" s="1" t="s">
        <v>742</v>
      </c>
      <c r="B73" s="1" t="s">
        <v>153</v>
      </c>
      <c r="C73" s="5">
        <v>44840</v>
      </c>
      <c r="D73" s="6">
        <f t="shared" si="3"/>
        <v>44840</v>
      </c>
      <c r="E73" s="1" t="s">
        <v>20</v>
      </c>
      <c r="F73" s="1" t="s">
        <v>112</v>
      </c>
      <c r="G73" s="1" t="s">
        <v>743</v>
      </c>
      <c r="H73" s="1" cm="1">
        <f t="array" ref="H73">IF(TRIM(G73)="",
   MEDIAN(IFERROR(--SUBSTITUTE(SUBSTITUTE(SUBSTITUTE(SUBSTITUTE(SUBSTITUTE(SUBSTITUTE(G$2:G$747,"Rs.",""),"INR",""),"₹",""),"â‚¹",""),"$","")," ",""),"")),
   IFERROR(--SUBSTITUTE(SUBSTITUTE(SUBSTITUTE(SUBSTITUTE(SUBSTITUTE(SUBSTITUTE(TRIM(G73),"Rs.",""),"INR",""),"₹",""),"â‚¹",""),"$","")," ",""),"")
)</f>
        <v>15131</v>
      </c>
      <c r="I73" s="1" t="str">
        <f t="shared" si="4"/>
        <v>Nill</v>
      </c>
      <c r="J73" s="1">
        <f t="shared" si="5"/>
        <v>15131</v>
      </c>
      <c r="K73" s="1" t="s">
        <v>138</v>
      </c>
      <c r="L73" s="1" t="s">
        <v>1252</v>
      </c>
      <c r="M73" s="1" t="s">
        <v>1253</v>
      </c>
      <c r="N73"/>
    </row>
    <row r="74" spans="1:14" x14ac:dyDescent="0.25">
      <c r="A74" s="1" t="s">
        <v>496</v>
      </c>
      <c r="B74" s="1" t="s">
        <v>352</v>
      </c>
      <c r="C74" s="5">
        <v>45657</v>
      </c>
      <c r="D74" s="6">
        <f t="shared" si="3"/>
        <v>45657</v>
      </c>
      <c r="E74" s="1" t="s">
        <v>11</v>
      </c>
      <c r="F74" s="1" t="s">
        <v>249</v>
      </c>
      <c r="G74" s="1" t="s">
        <v>497</v>
      </c>
      <c r="H74" s="1" cm="1">
        <f t="array" ref="H74">IF(TRIM(G74)="",
   MEDIAN(IFERROR(--SUBSTITUTE(SUBSTITUTE(SUBSTITUTE(SUBSTITUTE(SUBSTITUTE(SUBSTITUTE(G$2:G$747,"Rs.",""),"INR",""),"₹",""),"â‚¹",""),"$","")," ",""),"")),
   IFERROR(--SUBSTITUTE(SUBSTITUTE(SUBSTITUTE(SUBSTITUTE(SUBSTITUTE(SUBSTITUTE(TRIM(G74),"Rs.",""),"INR",""),"₹",""),"â‚¹",""),"$","")," ",""),"")
)</f>
        <v>3414</v>
      </c>
      <c r="I74" s="1">
        <f t="shared" si="4"/>
        <v>3414</v>
      </c>
      <c r="J74" s="1" t="str">
        <f t="shared" si="5"/>
        <v>Nill</v>
      </c>
      <c r="K74" s="1" t="s">
        <v>172</v>
      </c>
      <c r="L74" s="1" t="s">
        <v>167</v>
      </c>
      <c r="M74" s="1" t="s">
        <v>35</v>
      </c>
      <c r="N74"/>
    </row>
    <row r="75" spans="1:14" x14ac:dyDescent="0.25">
      <c r="A75" s="1" t="s">
        <v>679</v>
      </c>
      <c r="B75" s="1" t="s">
        <v>99</v>
      </c>
      <c r="C75" s="5">
        <v>44322</v>
      </c>
      <c r="D75" s="6">
        <f t="shared" si="3"/>
        <v>44322</v>
      </c>
      <c r="E75" s="1" t="s">
        <v>11</v>
      </c>
      <c r="F75" s="1" t="s">
        <v>69</v>
      </c>
      <c r="G75" s="1" t="s">
        <v>680</v>
      </c>
      <c r="H75" s="1" cm="1">
        <f t="array" ref="H75">IF(TRIM(G75)="",
   MEDIAN(IFERROR(--SUBSTITUTE(SUBSTITUTE(SUBSTITUTE(SUBSTITUTE(SUBSTITUTE(SUBSTITUTE(G$2:G$747,"Rs.",""),"INR",""),"₹",""),"â‚¹",""),"$","")," ",""),"")),
   IFERROR(--SUBSTITUTE(SUBSTITUTE(SUBSTITUTE(SUBSTITUTE(SUBSTITUTE(SUBSTITUTE(TRIM(G75),"Rs.",""),"INR",""),"₹",""),"â‚¹",""),"$","")," ",""),"")
)</f>
        <v>1810</v>
      </c>
      <c r="I75" s="1">
        <f t="shared" si="4"/>
        <v>1810</v>
      </c>
      <c r="J75" s="1" t="str">
        <f t="shared" si="5"/>
        <v>Nill</v>
      </c>
      <c r="K75" s="1" t="s">
        <v>110</v>
      </c>
      <c r="L75" s="1" t="s">
        <v>217</v>
      </c>
      <c r="M75" s="1" t="s">
        <v>122</v>
      </c>
      <c r="N75"/>
    </row>
    <row r="76" spans="1:14" x14ac:dyDescent="0.25">
      <c r="A76" s="1" t="s">
        <v>1120</v>
      </c>
      <c r="B76" s="1" t="s">
        <v>568</v>
      </c>
      <c r="C76" s="1" t="s">
        <v>1121</v>
      </c>
      <c r="D76" s="6">
        <f t="shared" si="3"/>
        <v>44742</v>
      </c>
      <c r="E76" s="1" t="s">
        <v>11</v>
      </c>
      <c r="F76" s="1" t="s">
        <v>249</v>
      </c>
      <c r="G76" s="1">
        <v>9698</v>
      </c>
      <c r="H76" s="1" cm="1">
        <f t="array" ref="H76">IF(TRIM(G76)="",
   MEDIAN(IFERROR(--SUBSTITUTE(SUBSTITUTE(SUBSTITUTE(SUBSTITUTE(SUBSTITUTE(SUBSTITUTE(G$2:G$747,"Rs.",""),"INR",""),"₹",""),"â‚¹",""),"$","")," ",""),"")),
   IFERROR(--SUBSTITUTE(SUBSTITUTE(SUBSTITUTE(SUBSTITUTE(SUBSTITUTE(SUBSTITUTE(TRIM(G76),"Rs.",""),"INR",""),"₹",""),"â‚¹",""),"$","")," ",""),"")
)</f>
        <v>9698</v>
      </c>
      <c r="I76" s="1">
        <f t="shared" si="4"/>
        <v>9698</v>
      </c>
      <c r="J76" s="1" t="str">
        <f t="shared" si="5"/>
        <v>Nill</v>
      </c>
      <c r="K76" s="1" t="s">
        <v>138</v>
      </c>
      <c r="L76" s="1" t="s">
        <v>17</v>
      </c>
      <c r="M76" s="1" t="s">
        <v>88</v>
      </c>
      <c r="N76"/>
    </row>
    <row r="77" spans="1:14" x14ac:dyDescent="0.25">
      <c r="A77" s="1" t="s">
        <v>827</v>
      </c>
      <c r="B77" s="1" t="s">
        <v>34</v>
      </c>
      <c r="C77" s="1" t="s">
        <v>828</v>
      </c>
      <c r="D77" s="6">
        <f t="shared" si="3"/>
        <v>45381</v>
      </c>
      <c r="E77" s="1" t="s">
        <v>11</v>
      </c>
      <c r="F77" s="1" t="s">
        <v>158</v>
      </c>
      <c r="G77" s="1">
        <v>7121</v>
      </c>
      <c r="H77" s="1" cm="1">
        <f t="array" ref="H77">IF(TRIM(G77)="",
   MEDIAN(IFERROR(--SUBSTITUTE(SUBSTITUTE(SUBSTITUTE(SUBSTITUTE(SUBSTITUTE(SUBSTITUTE(G$2:G$747,"Rs.",""),"INR",""),"₹",""),"â‚¹",""),"$","")," ",""),"")),
   IFERROR(--SUBSTITUTE(SUBSTITUTE(SUBSTITUTE(SUBSTITUTE(SUBSTITUTE(SUBSTITUTE(TRIM(G77),"Rs.",""),"INR",""),"₹",""),"â‚¹",""),"$","")," ",""),"")
)</f>
        <v>7121</v>
      </c>
      <c r="I77" s="1">
        <f t="shared" si="4"/>
        <v>7121</v>
      </c>
      <c r="J77" s="1" t="str">
        <f t="shared" si="5"/>
        <v>Nill</v>
      </c>
      <c r="K77" s="1" t="s">
        <v>138</v>
      </c>
      <c r="L77" s="1" t="s">
        <v>299</v>
      </c>
      <c r="M77" s="1" t="s">
        <v>252</v>
      </c>
      <c r="N77"/>
    </row>
    <row r="78" spans="1:14" x14ac:dyDescent="0.25">
      <c r="A78" s="1" t="s">
        <v>322</v>
      </c>
      <c r="B78" s="1" t="s">
        <v>64</v>
      </c>
      <c r="C78" s="5">
        <v>44350</v>
      </c>
      <c r="D78" s="6">
        <f t="shared" si="3"/>
        <v>44350</v>
      </c>
      <c r="E78" s="1" t="s">
        <v>11</v>
      </c>
      <c r="F78" s="1" t="s">
        <v>158</v>
      </c>
      <c r="G78" s="1">
        <v>544</v>
      </c>
      <c r="H78" s="1" cm="1">
        <f t="array" ref="H78">IF(TRIM(G78)="",
   MEDIAN(IFERROR(--SUBSTITUTE(SUBSTITUTE(SUBSTITUTE(SUBSTITUTE(SUBSTITUTE(SUBSTITUTE(G$2:G$747,"Rs.",""),"INR",""),"₹",""),"â‚¹",""),"$","")," ",""),"")),
   IFERROR(--SUBSTITUTE(SUBSTITUTE(SUBSTITUTE(SUBSTITUTE(SUBSTITUTE(SUBSTITUTE(TRIM(G78),"Rs.",""),"INR",""),"₹",""),"â‚¹",""),"$","")," ",""),"")
)</f>
        <v>544</v>
      </c>
      <c r="I78" s="1">
        <f t="shared" si="4"/>
        <v>544</v>
      </c>
      <c r="J78" s="1" t="str">
        <f t="shared" si="5"/>
        <v>Nill</v>
      </c>
      <c r="K78" s="1" t="s">
        <v>48</v>
      </c>
      <c r="L78" s="1" t="s">
        <v>13</v>
      </c>
      <c r="M78" s="1" t="s">
        <v>255</v>
      </c>
      <c r="N78"/>
    </row>
    <row r="79" spans="1:14" x14ac:dyDescent="0.25">
      <c r="A79" s="1" t="s">
        <v>318</v>
      </c>
      <c r="B79" s="1" t="s">
        <v>319</v>
      </c>
      <c r="C79" s="5">
        <v>44527</v>
      </c>
      <c r="D79" s="6">
        <f t="shared" si="3"/>
        <v>44527</v>
      </c>
      <c r="E79" s="1" t="s">
        <v>11</v>
      </c>
      <c r="F79" s="1" t="s">
        <v>30</v>
      </c>
      <c r="G79" s="1">
        <v>3121</v>
      </c>
      <c r="H79" s="1" cm="1">
        <f t="array" ref="H79">IF(TRIM(G79)="",
   MEDIAN(IFERROR(--SUBSTITUTE(SUBSTITUTE(SUBSTITUTE(SUBSTITUTE(SUBSTITUTE(SUBSTITUTE(G$2:G$747,"Rs.",""),"INR",""),"₹",""),"â‚¹",""),"$","")," ",""),"")),
   IFERROR(--SUBSTITUTE(SUBSTITUTE(SUBSTITUTE(SUBSTITUTE(SUBSTITUTE(SUBSTITUTE(TRIM(G79),"Rs.",""),"INR",""),"₹",""),"â‚¹",""),"$","")," ",""),"")
)</f>
        <v>3121</v>
      </c>
      <c r="I79" s="1">
        <f t="shared" si="4"/>
        <v>3121</v>
      </c>
      <c r="J79" s="1" t="str">
        <f t="shared" si="5"/>
        <v>Nill</v>
      </c>
      <c r="K79" s="1" t="s">
        <v>25</v>
      </c>
      <c r="L79" s="1" t="s">
        <v>167</v>
      </c>
      <c r="M79" s="1" t="s">
        <v>49</v>
      </c>
      <c r="N79"/>
    </row>
    <row r="80" spans="1:14" x14ac:dyDescent="0.25">
      <c r="A80" s="1" t="s">
        <v>529</v>
      </c>
      <c r="B80" s="1" t="s">
        <v>219</v>
      </c>
      <c r="C80" s="5">
        <v>44433</v>
      </c>
      <c r="D80" s="6">
        <f t="shared" si="3"/>
        <v>44433</v>
      </c>
      <c r="E80" s="1" t="s">
        <v>11</v>
      </c>
      <c r="F80" s="1" t="s">
        <v>69</v>
      </c>
      <c r="G80" s="1" t="s">
        <v>530</v>
      </c>
      <c r="H80" s="1" cm="1">
        <f t="array" ref="H80">IF(TRIM(G80)="",
   MEDIAN(IFERROR(--SUBSTITUTE(SUBSTITUTE(SUBSTITUTE(SUBSTITUTE(SUBSTITUTE(SUBSTITUTE(G$2:G$747,"Rs.",""),"INR",""),"₹",""),"â‚¹",""),"$","")," ",""),"")),
   IFERROR(--SUBSTITUTE(SUBSTITUTE(SUBSTITUTE(SUBSTITUTE(SUBSTITUTE(SUBSTITUTE(TRIM(G80),"Rs.",""),"INR",""),"₹",""),"â‚¹",""),"$","")," ",""),"")
)</f>
        <v>498</v>
      </c>
      <c r="I80" s="1">
        <f t="shared" si="4"/>
        <v>498</v>
      </c>
      <c r="J80" s="1" t="str">
        <f t="shared" si="5"/>
        <v>Nill</v>
      </c>
      <c r="K80" s="1" t="s">
        <v>138</v>
      </c>
      <c r="L80" s="1" t="s">
        <v>127</v>
      </c>
      <c r="M80" s="1" t="s">
        <v>113</v>
      </c>
      <c r="N80"/>
    </row>
    <row r="81" spans="1:14" x14ac:dyDescent="0.25">
      <c r="A81" s="1" t="s">
        <v>292</v>
      </c>
      <c r="B81" s="1" t="s">
        <v>293</v>
      </c>
      <c r="C81" s="5">
        <v>44934</v>
      </c>
      <c r="D81" s="6">
        <f t="shared" si="3"/>
        <v>44934</v>
      </c>
      <c r="E81" s="1" t="s">
        <v>11</v>
      </c>
      <c r="F81" s="1" t="s">
        <v>69</v>
      </c>
      <c r="G81" s="1">
        <v>2778</v>
      </c>
      <c r="H81" s="1" cm="1">
        <f t="array" ref="H81">IF(TRIM(G81)="",
   MEDIAN(IFERROR(--SUBSTITUTE(SUBSTITUTE(SUBSTITUTE(SUBSTITUTE(SUBSTITUTE(SUBSTITUTE(G$2:G$747,"Rs.",""),"INR",""),"₹",""),"â‚¹",""),"$","")," ",""),"")),
   IFERROR(--SUBSTITUTE(SUBSTITUTE(SUBSTITUTE(SUBSTITUTE(SUBSTITUTE(SUBSTITUTE(TRIM(G81),"Rs.",""),"INR",""),"₹",""),"â‚¹",""),"$","")," ",""),"")
)</f>
        <v>2778</v>
      </c>
      <c r="I81" s="1">
        <f t="shared" si="4"/>
        <v>2778</v>
      </c>
      <c r="J81" s="1" t="str">
        <f t="shared" si="5"/>
        <v>Nill</v>
      </c>
      <c r="K81" s="1" t="s">
        <v>87</v>
      </c>
      <c r="L81" s="1" t="s">
        <v>13</v>
      </c>
      <c r="M81" s="1" t="s">
        <v>1253</v>
      </c>
      <c r="N81"/>
    </row>
    <row r="82" spans="1:14" x14ac:dyDescent="0.25">
      <c r="A82" s="1" t="s">
        <v>611</v>
      </c>
      <c r="B82" s="1" t="s">
        <v>43</v>
      </c>
      <c r="C82" s="5">
        <v>44497</v>
      </c>
      <c r="D82" s="6">
        <f t="shared" si="3"/>
        <v>44497</v>
      </c>
      <c r="E82" s="1" t="s">
        <v>11</v>
      </c>
      <c r="F82" s="1" t="s">
        <v>158</v>
      </c>
      <c r="G82" s="1" t="s">
        <v>612</v>
      </c>
      <c r="H82" s="1" cm="1">
        <f t="array" ref="H82">IF(TRIM(G82)="",
   MEDIAN(IFERROR(--SUBSTITUTE(SUBSTITUTE(SUBSTITUTE(SUBSTITUTE(SUBSTITUTE(SUBSTITUTE(G$2:G$747,"Rs.",""),"INR",""),"₹",""),"â‚¹",""),"$","")," ",""),"")),
   IFERROR(--SUBSTITUTE(SUBSTITUTE(SUBSTITUTE(SUBSTITUTE(SUBSTITUTE(SUBSTITUTE(TRIM(G82),"Rs.",""),"INR",""),"₹",""),"â‚¹",""),"$","")," ",""),"")
)</f>
        <v>9601</v>
      </c>
      <c r="I82" s="1">
        <f t="shared" si="4"/>
        <v>9601</v>
      </c>
      <c r="J82" s="1" t="str">
        <f t="shared" si="5"/>
        <v>Nill</v>
      </c>
      <c r="K82" s="1" t="s">
        <v>1253</v>
      </c>
      <c r="L82" s="1" t="s">
        <v>217</v>
      </c>
      <c r="M82" s="1" t="s">
        <v>41</v>
      </c>
      <c r="N82"/>
    </row>
    <row r="83" spans="1:14" x14ac:dyDescent="0.25">
      <c r="A83" s="1" t="s">
        <v>600</v>
      </c>
      <c r="B83" s="1" t="s">
        <v>195</v>
      </c>
      <c r="C83" s="5">
        <v>44587</v>
      </c>
      <c r="D83" s="6">
        <f t="shared" si="3"/>
        <v>44587</v>
      </c>
      <c r="E83" s="1" t="s">
        <v>11</v>
      </c>
      <c r="F83" s="1" t="s">
        <v>85</v>
      </c>
      <c r="G83" s="1">
        <v>5756</v>
      </c>
      <c r="H83" s="1" cm="1">
        <f t="array" ref="H83">IF(TRIM(G83)="",
   MEDIAN(IFERROR(--SUBSTITUTE(SUBSTITUTE(SUBSTITUTE(SUBSTITUTE(SUBSTITUTE(SUBSTITUTE(G$2:G$747,"Rs.",""),"INR",""),"₹",""),"â‚¹",""),"$","")," ",""),"")),
   IFERROR(--SUBSTITUTE(SUBSTITUTE(SUBSTITUTE(SUBSTITUTE(SUBSTITUTE(SUBSTITUTE(TRIM(G83),"Rs.",""),"INR",""),"₹",""),"â‚¹",""),"$","")," ",""),"")
)</f>
        <v>5756</v>
      </c>
      <c r="I83" s="1">
        <f t="shared" si="4"/>
        <v>5756</v>
      </c>
      <c r="J83" s="1" t="str">
        <f t="shared" si="5"/>
        <v>Nill</v>
      </c>
      <c r="K83" s="1" t="s">
        <v>25</v>
      </c>
      <c r="L83" s="1" t="s">
        <v>17</v>
      </c>
      <c r="M83" s="1" t="s">
        <v>76</v>
      </c>
      <c r="N83"/>
    </row>
    <row r="84" spans="1:14" x14ac:dyDescent="0.25">
      <c r="A84" s="1" t="s">
        <v>449</v>
      </c>
      <c r="B84" s="1" t="s">
        <v>450</v>
      </c>
      <c r="C84" s="5">
        <v>44962</v>
      </c>
      <c r="D84" s="6">
        <f t="shared" si="3"/>
        <v>44962</v>
      </c>
      <c r="E84" s="1" t="s">
        <v>11</v>
      </c>
      <c r="F84" s="1" t="s">
        <v>104</v>
      </c>
      <c r="G84" s="1" t="s">
        <v>451</v>
      </c>
      <c r="H84" s="1" cm="1">
        <f t="array" ref="H84">IF(TRIM(G84)="",
   MEDIAN(IFERROR(--SUBSTITUTE(SUBSTITUTE(SUBSTITUTE(SUBSTITUTE(SUBSTITUTE(SUBSTITUTE(G$2:G$747,"Rs.",""),"INR",""),"₹",""),"â‚¹",""),"$","")," ",""),"")),
   IFERROR(--SUBSTITUTE(SUBSTITUTE(SUBSTITUTE(SUBSTITUTE(SUBSTITUTE(SUBSTITUTE(TRIM(G84),"Rs.",""),"INR",""),"₹",""),"â‚¹",""),"$","")," ",""),"")
)</f>
        <v>7713</v>
      </c>
      <c r="I84" s="1">
        <f t="shared" si="4"/>
        <v>7713</v>
      </c>
      <c r="J84" s="1" t="str">
        <f t="shared" si="5"/>
        <v>Nill</v>
      </c>
      <c r="K84" s="1" t="s">
        <v>48</v>
      </c>
      <c r="L84" s="1" t="s">
        <v>167</v>
      </c>
      <c r="M84" s="1" t="s">
        <v>241</v>
      </c>
      <c r="N84"/>
    </row>
    <row r="85" spans="1:14" x14ac:dyDescent="0.25">
      <c r="A85" s="1" t="s">
        <v>1123</v>
      </c>
      <c r="B85" s="1" t="s">
        <v>164</v>
      </c>
      <c r="C85" s="5">
        <v>45097</v>
      </c>
      <c r="D85" s="6">
        <f t="shared" si="3"/>
        <v>45097</v>
      </c>
      <c r="E85" s="1" t="s">
        <v>11</v>
      </c>
      <c r="F85" s="1" t="s">
        <v>249</v>
      </c>
      <c r="G85" s="1">
        <v>4119</v>
      </c>
      <c r="H85" s="1" cm="1">
        <f t="array" ref="H85">IF(TRIM(G85)="",
   MEDIAN(IFERROR(--SUBSTITUTE(SUBSTITUTE(SUBSTITUTE(SUBSTITUTE(SUBSTITUTE(SUBSTITUTE(G$2:G$747,"Rs.",""),"INR",""),"₹",""),"â‚¹",""),"$","")," ",""),"")),
   IFERROR(--SUBSTITUTE(SUBSTITUTE(SUBSTITUTE(SUBSTITUTE(SUBSTITUTE(SUBSTITUTE(TRIM(G85),"Rs.",""),"INR",""),"₹",""),"â‚¹",""),"$","")," ",""),"")
)</f>
        <v>4119</v>
      </c>
      <c r="I85" s="1">
        <f t="shared" si="4"/>
        <v>4119</v>
      </c>
      <c r="J85" s="1" t="str">
        <f t="shared" si="5"/>
        <v>Nill</v>
      </c>
      <c r="K85" s="1" t="s">
        <v>138</v>
      </c>
      <c r="L85" s="1" t="s">
        <v>167</v>
      </c>
      <c r="M85" s="1" t="s">
        <v>128</v>
      </c>
      <c r="N85"/>
    </row>
    <row r="86" spans="1:14" x14ac:dyDescent="0.25">
      <c r="A86" s="1" t="s">
        <v>1038</v>
      </c>
      <c r="B86" s="1" t="s">
        <v>412</v>
      </c>
      <c r="C86" s="1" t="s">
        <v>1039</v>
      </c>
      <c r="D86" s="6">
        <f t="shared" si="3"/>
        <v>45258</v>
      </c>
      <c r="E86" s="1" t="s">
        <v>11</v>
      </c>
      <c r="F86" s="1" t="s">
        <v>171</v>
      </c>
      <c r="H86" s="1" cm="1">
        <f t="array" ref="H86">IF(TRIM(G86)="",
   MEDIAN(IFERROR(--SUBSTITUTE(SUBSTITUTE(SUBSTITUTE(SUBSTITUTE(SUBSTITUTE(SUBSTITUTE(G$2:G$747,"Rs.",""),"INR",""),"₹",""),"â‚¹",""),"$","")," ",""),"")),
   IFERROR(--SUBSTITUTE(SUBSTITUTE(SUBSTITUTE(SUBSTITUTE(SUBSTITUTE(SUBSTITUTE(TRIM(G86),"Rs.",""),"INR",""),"₹",""),"â‚¹",""),"$","")," ",""),"")
)</f>
        <v>5935</v>
      </c>
      <c r="I86" s="1">
        <f t="shared" si="4"/>
        <v>5935</v>
      </c>
      <c r="J86" s="1" t="str">
        <f t="shared" si="5"/>
        <v>Nill</v>
      </c>
      <c r="K86" s="1" t="s">
        <v>12</v>
      </c>
      <c r="L86" s="1" t="s">
        <v>40</v>
      </c>
      <c r="M86" s="1" t="s">
        <v>128</v>
      </c>
      <c r="N86"/>
    </row>
    <row r="87" spans="1:14" x14ac:dyDescent="0.25">
      <c r="A87" s="1" t="s">
        <v>1136</v>
      </c>
      <c r="B87" s="1" t="s">
        <v>108</v>
      </c>
      <c r="C87" s="5">
        <v>45334</v>
      </c>
      <c r="D87" s="6">
        <f t="shared" si="3"/>
        <v>45334</v>
      </c>
      <c r="E87" s="1" t="s">
        <v>20</v>
      </c>
      <c r="F87" s="1" t="s">
        <v>44</v>
      </c>
      <c r="G87" s="1">
        <v>76239</v>
      </c>
      <c r="H87" s="1" cm="1">
        <f t="array" ref="H87">IF(TRIM(G87)="",
   MEDIAN(IFERROR(--SUBSTITUTE(SUBSTITUTE(SUBSTITUTE(SUBSTITUTE(SUBSTITUTE(SUBSTITUTE(G$2:G$747,"Rs.",""),"INR",""),"₹",""),"â‚¹",""),"$","")," ",""),"")),
   IFERROR(--SUBSTITUTE(SUBSTITUTE(SUBSTITUTE(SUBSTITUTE(SUBSTITUTE(SUBSTITUTE(TRIM(G87),"Rs.",""),"INR",""),"₹",""),"â‚¹",""),"$","")," ",""),"")
)</f>
        <v>76239</v>
      </c>
      <c r="I87" s="1" t="str">
        <f t="shared" si="4"/>
        <v>Nill</v>
      </c>
      <c r="J87" s="1">
        <f t="shared" si="5"/>
        <v>76239</v>
      </c>
      <c r="K87" s="1" t="s">
        <v>12</v>
      </c>
      <c r="L87" s="1" t="s">
        <v>198</v>
      </c>
      <c r="M87" s="1" t="s">
        <v>122</v>
      </c>
      <c r="N87"/>
    </row>
    <row r="88" spans="1:14" x14ac:dyDescent="0.25">
      <c r="A88" s="1" t="s">
        <v>735</v>
      </c>
      <c r="B88" s="1" t="s">
        <v>61</v>
      </c>
      <c r="C88" s="5">
        <v>44934</v>
      </c>
      <c r="D88" s="6">
        <f t="shared" si="3"/>
        <v>44934</v>
      </c>
      <c r="E88" s="1" t="s">
        <v>11</v>
      </c>
      <c r="F88" s="1" t="s">
        <v>85</v>
      </c>
      <c r="G88" s="1">
        <v>7174</v>
      </c>
      <c r="H88" s="1" cm="1">
        <f t="array" ref="H88">IF(TRIM(G88)="",
   MEDIAN(IFERROR(--SUBSTITUTE(SUBSTITUTE(SUBSTITUTE(SUBSTITUTE(SUBSTITUTE(SUBSTITUTE(G$2:G$747,"Rs.",""),"INR",""),"₹",""),"â‚¹",""),"$","")," ",""),"")),
   IFERROR(--SUBSTITUTE(SUBSTITUTE(SUBSTITUTE(SUBSTITUTE(SUBSTITUTE(SUBSTITUTE(TRIM(G88),"Rs.",""),"INR",""),"₹",""),"â‚¹",""),"$","")," ",""),"")
)</f>
        <v>7174</v>
      </c>
      <c r="I88" s="1">
        <f t="shared" si="4"/>
        <v>7174</v>
      </c>
      <c r="J88" s="1" t="str">
        <f t="shared" si="5"/>
        <v>Nill</v>
      </c>
      <c r="K88" s="1" t="s">
        <v>48</v>
      </c>
      <c r="L88" s="1" t="s">
        <v>299</v>
      </c>
      <c r="M88" s="1" t="s">
        <v>41</v>
      </c>
      <c r="N88"/>
    </row>
    <row r="89" spans="1:14" x14ac:dyDescent="0.25">
      <c r="A89" s="1" t="s">
        <v>1127</v>
      </c>
      <c r="B89" s="1" t="s">
        <v>174</v>
      </c>
      <c r="C89" s="1" t="s">
        <v>1128</v>
      </c>
      <c r="D89" s="6">
        <f t="shared" si="3"/>
        <v>45397</v>
      </c>
      <c r="E89" s="1" t="s">
        <v>11</v>
      </c>
      <c r="F89" s="1" t="s">
        <v>171</v>
      </c>
      <c r="G89" s="1" t="s">
        <v>1129</v>
      </c>
      <c r="H89" s="1" cm="1">
        <f t="array" ref="H89">IF(TRIM(G89)="",
   MEDIAN(IFERROR(--SUBSTITUTE(SUBSTITUTE(SUBSTITUTE(SUBSTITUTE(SUBSTITUTE(SUBSTITUTE(G$2:G$747,"Rs.",""),"INR",""),"₹",""),"â‚¹",""),"$","")," ",""),"")),
   IFERROR(--SUBSTITUTE(SUBSTITUTE(SUBSTITUTE(SUBSTITUTE(SUBSTITUTE(SUBSTITUTE(TRIM(G89),"Rs.",""),"INR",""),"₹",""),"â‚¹",""),"$","")," ",""),"")
)</f>
        <v>5717</v>
      </c>
      <c r="I89" s="1">
        <f t="shared" si="4"/>
        <v>5717</v>
      </c>
      <c r="J89" s="1" t="str">
        <f t="shared" si="5"/>
        <v>Nill</v>
      </c>
      <c r="K89" s="1" t="s">
        <v>25</v>
      </c>
      <c r="L89" s="1" t="s">
        <v>217</v>
      </c>
      <c r="M89" s="1" t="s">
        <v>14</v>
      </c>
      <c r="N89"/>
    </row>
    <row r="90" spans="1:14" x14ac:dyDescent="0.25">
      <c r="A90" s="1" t="s">
        <v>331</v>
      </c>
      <c r="B90" s="1" t="s">
        <v>155</v>
      </c>
      <c r="C90" s="1" t="s">
        <v>332</v>
      </c>
      <c r="D90" s="6">
        <f t="shared" si="3"/>
        <v>44316</v>
      </c>
      <c r="E90" s="1" t="s">
        <v>20</v>
      </c>
      <c r="F90" s="1" t="s">
        <v>112</v>
      </c>
      <c r="G90" s="1">
        <v>46219</v>
      </c>
      <c r="H90" s="1" cm="1">
        <f t="array" ref="H90">IF(TRIM(G90)="",
   MEDIAN(IFERROR(--SUBSTITUTE(SUBSTITUTE(SUBSTITUTE(SUBSTITUTE(SUBSTITUTE(SUBSTITUTE(G$2:G$747,"Rs.",""),"INR",""),"₹",""),"â‚¹",""),"$","")," ",""),"")),
   IFERROR(--SUBSTITUTE(SUBSTITUTE(SUBSTITUTE(SUBSTITUTE(SUBSTITUTE(SUBSTITUTE(TRIM(G90),"Rs.",""),"INR",""),"₹",""),"â‚¹",""),"$","")," ",""),"")
)</f>
        <v>46219</v>
      </c>
      <c r="I90" s="1" t="str">
        <f t="shared" si="4"/>
        <v>Nill</v>
      </c>
      <c r="J90" s="1">
        <f t="shared" si="5"/>
        <v>46219</v>
      </c>
      <c r="K90" s="1" t="s">
        <v>12</v>
      </c>
      <c r="L90" s="1" t="s">
        <v>40</v>
      </c>
      <c r="M90" s="1" t="s">
        <v>1253</v>
      </c>
      <c r="N90"/>
    </row>
    <row r="91" spans="1:14" x14ac:dyDescent="0.25">
      <c r="A91" s="1" t="s">
        <v>676</v>
      </c>
      <c r="B91" s="1" t="s">
        <v>46</v>
      </c>
      <c r="C91" s="5">
        <v>44757</v>
      </c>
      <c r="D91" s="6">
        <f t="shared" si="3"/>
        <v>44757</v>
      </c>
      <c r="E91" s="1" t="s">
        <v>11</v>
      </c>
      <c r="F91" s="1" t="s">
        <v>171</v>
      </c>
      <c r="G91" s="1">
        <v>44898</v>
      </c>
      <c r="H91" s="1" cm="1">
        <f t="array" ref="H91">IF(TRIM(G91)="",
   MEDIAN(IFERROR(--SUBSTITUTE(SUBSTITUTE(SUBSTITUTE(SUBSTITUTE(SUBSTITUTE(SUBSTITUTE(G$2:G$747,"Rs.",""),"INR",""),"₹",""),"â‚¹",""),"$","")," ",""),"")),
   IFERROR(--SUBSTITUTE(SUBSTITUTE(SUBSTITUTE(SUBSTITUTE(SUBSTITUTE(SUBSTITUTE(TRIM(G91),"Rs.",""),"INR",""),"₹",""),"â‚¹",""),"$","")," ",""),"")
)</f>
        <v>44898</v>
      </c>
      <c r="I91" s="1">
        <f t="shared" si="4"/>
        <v>44898</v>
      </c>
      <c r="J91" s="1" t="str">
        <f t="shared" si="5"/>
        <v>Nill</v>
      </c>
      <c r="K91" s="1" t="s">
        <v>204</v>
      </c>
      <c r="L91" s="1" t="s">
        <v>299</v>
      </c>
      <c r="M91" s="1" t="s">
        <v>113</v>
      </c>
      <c r="N91"/>
    </row>
    <row r="92" spans="1:14" x14ac:dyDescent="0.25">
      <c r="A92" s="1" t="s">
        <v>320</v>
      </c>
      <c r="B92" s="1" t="s">
        <v>145</v>
      </c>
      <c r="C92" s="1" t="s">
        <v>321</v>
      </c>
      <c r="D92" s="6">
        <f t="shared" si="3"/>
        <v>45431</v>
      </c>
      <c r="E92" s="1" t="s">
        <v>11</v>
      </c>
      <c r="F92" s="1" t="s">
        <v>69</v>
      </c>
      <c r="G92" s="1">
        <v>3802</v>
      </c>
      <c r="H92" s="1" cm="1">
        <f t="array" ref="H92">IF(TRIM(G92)="",
   MEDIAN(IFERROR(--SUBSTITUTE(SUBSTITUTE(SUBSTITUTE(SUBSTITUTE(SUBSTITUTE(SUBSTITUTE(G$2:G$747,"Rs.",""),"INR",""),"₹",""),"â‚¹",""),"$","")," ",""),"")),
   IFERROR(--SUBSTITUTE(SUBSTITUTE(SUBSTITUTE(SUBSTITUTE(SUBSTITUTE(SUBSTITUTE(TRIM(G92),"Rs.",""),"INR",""),"₹",""),"â‚¹",""),"$","")," ",""),"")
)</f>
        <v>3802</v>
      </c>
      <c r="I92" s="1">
        <f t="shared" si="4"/>
        <v>3802</v>
      </c>
      <c r="J92" s="1" t="str">
        <f t="shared" si="5"/>
        <v>Nill</v>
      </c>
      <c r="K92" s="1" t="s">
        <v>172</v>
      </c>
      <c r="L92" s="1" t="s">
        <v>97</v>
      </c>
      <c r="M92" s="1" t="s">
        <v>210</v>
      </c>
      <c r="N92"/>
    </row>
    <row r="93" spans="1:14" x14ac:dyDescent="0.25">
      <c r="A93" s="1" t="s">
        <v>640</v>
      </c>
      <c r="B93" s="1" t="s">
        <v>438</v>
      </c>
      <c r="C93" s="5">
        <v>45044</v>
      </c>
      <c r="D93" s="6">
        <f t="shared" si="3"/>
        <v>45044</v>
      </c>
      <c r="E93" s="1" t="s">
        <v>11</v>
      </c>
      <c r="F93" s="1" t="s">
        <v>85</v>
      </c>
      <c r="G93" s="1" t="s">
        <v>641</v>
      </c>
      <c r="H93" s="1" cm="1">
        <f t="array" ref="H93">IF(TRIM(G93)="",
   MEDIAN(IFERROR(--SUBSTITUTE(SUBSTITUTE(SUBSTITUTE(SUBSTITUTE(SUBSTITUTE(SUBSTITUTE(G$2:G$747,"Rs.",""),"INR",""),"₹",""),"â‚¹",""),"$","")," ",""),"")),
   IFERROR(--SUBSTITUTE(SUBSTITUTE(SUBSTITUTE(SUBSTITUTE(SUBSTITUTE(SUBSTITUTE(TRIM(G93),"Rs.",""),"INR",""),"₹",""),"â‚¹",""),"$","")," ",""),"")
)</f>
        <v>4601</v>
      </c>
      <c r="I93" s="1">
        <f t="shared" si="4"/>
        <v>4601</v>
      </c>
      <c r="J93" s="1" t="str">
        <f t="shared" si="5"/>
        <v>Nill</v>
      </c>
      <c r="K93" s="1" t="s">
        <v>172</v>
      </c>
      <c r="L93" s="1" t="s">
        <v>167</v>
      </c>
      <c r="M93" s="1" t="s">
        <v>179</v>
      </c>
      <c r="N93"/>
    </row>
    <row r="94" spans="1:14" x14ac:dyDescent="0.25">
      <c r="A94" s="1" t="s">
        <v>1068</v>
      </c>
      <c r="B94" s="1" t="s">
        <v>281</v>
      </c>
      <c r="C94" s="5">
        <v>45417</v>
      </c>
      <c r="D94" s="6">
        <f t="shared" si="3"/>
        <v>45417</v>
      </c>
      <c r="E94" s="1" t="s">
        <v>11</v>
      </c>
      <c r="F94" s="1" t="s">
        <v>69</v>
      </c>
      <c r="G94" s="1" t="s">
        <v>1069</v>
      </c>
      <c r="H94" s="1" cm="1">
        <f t="array" ref="H94">IF(TRIM(G94)="",
   MEDIAN(IFERROR(--SUBSTITUTE(SUBSTITUTE(SUBSTITUTE(SUBSTITUTE(SUBSTITUTE(SUBSTITUTE(G$2:G$747,"Rs.",""),"INR",""),"₹",""),"â‚¹",""),"$","")," ",""),"")),
   IFERROR(--SUBSTITUTE(SUBSTITUTE(SUBSTITUTE(SUBSTITUTE(SUBSTITUTE(SUBSTITUTE(TRIM(G94),"Rs.",""),"INR",""),"₹",""),"â‚¹",""),"$","")," ",""),"")
)</f>
        <v>2811</v>
      </c>
      <c r="I94" s="1">
        <f t="shared" si="4"/>
        <v>2811</v>
      </c>
      <c r="J94" s="1" t="str">
        <f t="shared" si="5"/>
        <v>Nill</v>
      </c>
      <c r="K94" s="1" t="s">
        <v>138</v>
      </c>
      <c r="L94" s="1" t="s">
        <v>40</v>
      </c>
      <c r="M94" s="1" t="s">
        <v>128</v>
      </c>
      <c r="N94"/>
    </row>
    <row r="95" spans="1:14" x14ac:dyDescent="0.25">
      <c r="A95" s="1" t="s">
        <v>125</v>
      </c>
      <c r="B95" s="1" t="s">
        <v>126</v>
      </c>
      <c r="C95" s="5">
        <v>44979</v>
      </c>
      <c r="D95" s="6">
        <f t="shared" si="3"/>
        <v>44979</v>
      </c>
      <c r="E95" s="1" t="s">
        <v>11</v>
      </c>
      <c r="F95" s="1" t="s">
        <v>465</v>
      </c>
      <c r="G95" s="1">
        <v>5252</v>
      </c>
      <c r="H95" s="1" cm="1">
        <f t="array" ref="H95">IF(TRIM(G95)="",
   MEDIAN(IFERROR(--SUBSTITUTE(SUBSTITUTE(SUBSTITUTE(SUBSTITUTE(SUBSTITUTE(SUBSTITUTE(G$2:G$747,"Rs.",""),"INR",""),"₹",""),"â‚¹",""),"$","")," ",""),"")),
   IFERROR(--SUBSTITUTE(SUBSTITUTE(SUBSTITUTE(SUBSTITUTE(SUBSTITUTE(SUBSTITUTE(TRIM(G95),"Rs.",""),"INR",""),"₹",""),"â‚¹",""),"$","")," ",""),"")
)</f>
        <v>5252</v>
      </c>
      <c r="I95" s="1">
        <f t="shared" si="4"/>
        <v>5252</v>
      </c>
      <c r="J95" s="1" t="str">
        <f t="shared" si="5"/>
        <v>Nill</v>
      </c>
      <c r="K95" s="1" t="s">
        <v>1253</v>
      </c>
      <c r="L95" s="1" t="s">
        <v>127</v>
      </c>
      <c r="M95" s="1" t="s">
        <v>128</v>
      </c>
      <c r="N95"/>
    </row>
    <row r="96" spans="1:14" x14ac:dyDescent="0.25">
      <c r="A96" s="1" t="s">
        <v>123</v>
      </c>
      <c r="B96" s="1" t="s">
        <v>124</v>
      </c>
      <c r="C96" s="5">
        <v>45513</v>
      </c>
      <c r="D96" s="6">
        <f t="shared" si="3"/>
        <v>45513</v>
      </c>
      <c r="E96" s="1" t="s">
        <v>11</v>
      </c>
      <c r="F96" s="1" t="s">
        <v>69</v>
      </c>
      <c r="G96" s="1">
        <v>3085</v>
      </c>
      <c r="H96" s="1" cm="1">
        <f t="array" ref="H96">IF(TRIM(G96)="",
   MEDIAN(IFERROR(--SUBSTITUTE(SUBSTITUTE(SUBSTITUTE(SUBSTITUTE(SUBSTITUTE(SUBSTITUTE(G$2:G$747,"Rs.",""),"INR",""),"₹",""),"â‚¹",""),"$","")," ",""),"")),
   IFERROR(--SUBSTITUTE(SUBSTITUTE(SUBSTITUTE(SUBSTITUTE(SUBSTITUTE(SUBSTITUTE(TRIM(G96),"Rs.",""),"INR",""),"₹",""),"â‚¹",""),"$","")," ",""),"")
)</f>
        <v>3085</v>
      </c>
      <c r="I96" s="1">
        <f t="shared" si="4"/>
        <v>3085</v>
      </c>
      <c r="J96" s="1" t="str">
        <f t="shared" si="5"/>
        <v>Nill</v>
      </c>
      <c r="K96" s="1" t="s">
        <v>31</v>
      </c>
      <c r="L96" s="1" t="s">
        <v>97</v>
      </c>
      <c r="M96" s="1" t="s">
        <v>26</v>
      </c>
      <c r="N96"/>
    </row>
    <row r="97" spans="1:14" x14ac:dyDescent="0.25">
      <c r="A97" s="1" t="s">
        <v>659</v>
      </c>
      <c r="B97" s="1" t="s">
        <v>208</v>
      </c>
      <c r="C97" s="5">
        <v>44754</v>
      </c>
      <c r="D97" s="6">
        <f t="shared" si="3"/>
        <v>44754</v>
      </c>
      <c r="E97" s="1" t="s">
        <v>11</v>
      </c>
      <c r="F97" s="1" t="s">
        <v>85</v>
      </c>
      <c r="G97" s="1" t="s">
        <v>660</v>
      </c>
      <c r="H97" s="1" cm="1">
        <f t="array" ref="H97">IF(TRIM(G97)="",
   MEDIAN(IFERROR(--SUBSTITUTE(SUBSTITUTE(SUBSTITUTE(SUBSTITUTE(SUBSTITUTE(SUBSTITUTE(G$2:G$747,"Rs.",""),"INR",""),"₹",""),"â‚¹",""),"$","")," ",""),"")),
   IFERROR(--SUBSTITUTE(SUBSTITUTE(SUBSTITUTE(SUBSTITUTE(SUBSTITUTE(SUBSTITUTE(TRIM(G97),"Rs.",""),"INR",""),"₹",""),"â‚¹",""),"$","")," ",""),"")
)</f>
        <v>9364</v>
      </c>
      <c r="I97" s="1">
        <f t="shared" si="4"/>
        <v>9364</v>
      </c>
      <c r="J97" s="1" t="str">
        <f t="shared" si="5"/>
        <v>Nill</v>
      </c>
      <c r="K97" s="1" t="s">
        <v>53</v>
      </c>
      <c r="L97" s="1" t="s">
        <v>127</v>
      </c>
      <c r="M97" s="1" t="s">
        <v>190</v>
      </c>
      <c r="N97"/>
    </row>
    <row r="98" spans="1:14" x14ac:dyDescent="0.25">
      <c r="A98" s="1" t="s">
        <v>1146</v>
      </c>
      <c r="B98" s="1" t="s">
        <v>509</v>
      </c>
      <c r="C98" s="5">
        <v>44864</v>
      </c>
      <c r="D98" s="6">
        <f t="shared" si="3"/>
        <v>44864</v>
      </c>
      <c r="E98" s="1" t="s">
        <v>11</v>
      </c>
      <c r="F98" s="1" t="s">
        <v>465</v>
      </c>
      <c r="G98" s="1" t="s">
        <v>1147</v>
      </c>
      <c r="H98" s="1" cm="1">
        <f t="array" ref="H98">IF(TRIM(G98)="",
   MEDIAN(IFERROR(--SUBSTITUTE(SUBSTITUTE(SUBSTITUTE(SUBSTITUTE(SUBSTITUTE(SUBSTITUTE(G$2:G$747,"Rs.",""),"INR",""),"₹",""),"â‚¹",""),"$","")," ",""),"")),
   IFERROR(--SUBSTITUTE(SUBSTITUTE(SUBSTITUTE(SUBSTITUTE(SUBSTITUTE(SUBSTITUTE(TRIM(G98),"Rs.",""),"INR",""),"₹",""),"â‚¹",""),"$","")," ",""),"")
)</f>
        <v>740</v>
      </c>
      <c r="I98" s="1">
        <f t="shared" si="4"/>
        <v>740</v>
      </c>
      <c r="J98" s="1" t="str">
        <f t="shared" si="5"/>
        <v>Nill</v>
      </c>
      <c r="K98" s="1" t="s">
        <v>75</v>
      </c>
      <c r="L98" s="1" t="s">
        <v>81</v>
      </c>
      <c r="M98" s="1" t="s">
        <v>117</v>
      </c>
      <c r="N98"/>
    </row>
    <row r="99" spans="1:14" x14ac:dyDescent="0.25">
      <c r="A99" s="1" t="s">
        <v>289</v>
      </c>
      <c r="B99" s="1" t="s">
        <v>219</v>
      </c>
      <c r="C99" s="5">
        <v>45085</v>
      </c>
      <c r="D99" s="6">
        <f t="shared" si="3"/>
        <v>45085</v>
      </c>
      <c r="E99" s="1" t="s">
        <v>11</v>
      </c>
      <c r="F99" s="1" t="s">
        <v>85</v>
      </c>
      <c r="G99" s="1">
        <v>2135</v>
      </c>
      <c r="H99" s="1" cm="1">
        <f t="array" ref="H99">IF(TRIM(G99)="",
   MEDIAN(IFERROR(--SUBSTITUTE(SUBSTITUTE(SUBSTITUTE(SUBSTITUTE(SUBSTITUTE(SUBSTITUTE(G$2:G$747,"Rs.",""),"INR",""),"₹",""),"â‚¹",""),"$","")," ",""),"")),
   IFERROR(--SUBSTITUTE(SUBSTITUTE(SUBSTITUTE(SUBSTITUTE(SUBSTITUTE(SUBSTITUTE(TRIM(G99),"Rs.",""),"INR",""),"₹",""),"â‚¹",""),"$","")," ",""),"")
)</f>
        <v>2135</v>
      </c>
      <c r="I99" s="1">
        <f t="shared" si="4"/>
        <v>2135</v>
      </c>
      <c r="J99" s="1" t="str">
        <f t="shared" si="5"/>
        <v>Nill</v>
      </c>
      <c r="K99" s="1" t="s">
        <v>261</v>
      </c>
      <c r="L99" s="1" t="s">
        <v>40</v>
      </c>
      <c r="M99" s="1" t="s">
        <v>179</v>
      </c>
      <c r="N99"/>
    </row>
    <row r="100" spans="1:14" x14ac:dyDescent="0.25">
      <c r="A100" s="1" t="s">
        <v>1096</v>
      </c>
      <c r="B100" s="1" t="s">
        <v>94</v>
      </c>
      <c r="C100" s="5">
        <v>44348</v>
      </c>
      <c r="D100" s="6">
        <f t="shared" si="3"/>
        <v>44348</v>
      </c>
      <c r="E100" s="1" t="s">
        <v>11</v>
      </c>
      <c r="F100" s="1" t="s">
        <v>30</v>
      </c>
      <c r="G100" s="1" t="s">
        <v>1097</v>
      </c>
      <c r="H100" s="1" cm="1">
        <f t="array" ref="H100">IF(TRIM(G100)="",
   MEDIAN(IFERROR(--SUBSTITUTE(SUBSTITUTE(SUBSTITUTE(SUBSTITUTE(SUBSTITUTE(SUBSTITUTE(G$2:G$747,"Rs.",""),"INR",""),"₹",""),"â‚¹",""),"$","")," ",""),"")),
   IFERROR(--SUBSTITUTE(SUBSTITUTE(SUBSTITUTE(SUBSTITUTE(SUBSTITUTE(SUBSTITUTE(TRIM(G100),"Rs.",""),"INR",""),"₹",""),"â‚¹",""),"$","")," ",""),"")
)</f>
        <v>3389</v>
      </c>
      <c r="I100" s="1">
        <f t="shared" si="4"/>
        <v>3389</v>
      </c>
      <c r="J100" s="1" t="str">
        <f t="shared" si="5"/>
        <v>Nill</v>
      </c>
      <c r="K100" s="1" t="s">
        <v>1253</v>
      </c>
      <c r="L100" s="1" t="s">
        <v>13</v>
      </c>
      <c r="M100" s="1" t="s">
        <v>26</v>
      </c>
      <c r="N100"/>
    </row>
    <row r="101" spans="1:14" x14ac:dyDescent="0.25">
      <c r="A101" s="1" t="s">
        <v>1137</v>
      </c>
      <c r="B101" s="1" t="s">
        <v>596</v>
      </c>
      <c r="C101" s="5">
        <v>44235</v>
      </c>
      <c r="D101" s="6">
        <f t="shared" si="3"/>
        <v>44235</v>
      </c>
      <c r="E101" s="1" t="s">
        <v>11</v>
      </c>
      <c r="F101" s="1" t="s">
        <v>69</v>
      </c>
      <c r="G101" s="1">
        <v>5375</v>
      </c>
      <c r="H101" s="1" cm="1">
        <f t="array" ref="H101">IF(TRIM(G101)="",
   MEDIAN(IFERROR(--SUBSTITUTE(SUBSTITUTE(SUBSTITUTE(SUBSTITUTE(SUBSTITUTE(SUBSTITUTE(G$2:G$747,"Rs.",""),"INR",""),"₹",""),"â‚¹",""),"$","")," ",""),"")),
   IFERROR(--SUBSTITUTE(SUBSTITUTE(SUBSTITUTE(SUBSTITUTE(SUBSTITUTE(SUBSTITUTE(TRIM(G101),"Rs.",""),"INR",""),"₹",""),"â‚¹",""),"$","")," ",""),"")
)</f>
        <v>5375</v>
      </c>
      <c r="I101" s="1">
        <f t="shared" si="4"/>
        <v>5375</v>
      </c>
      <c r="J101" s="1" t="str">
        <f t="shared" si="5"/>
        <v>Nill</v>
      </c>
      <c r="K101" s="1" t="s">
        <v>172</v>
      </c>
      <c r="L101" s="1" t="s">
        <v>81</v>
      </c>
      <c r="M101" s="1" t="s">
        <v>14</v>
      </c>
      <c r="N101"/>
    </row>
    <row r="102" spans="1:14" x14ac:dyDescent="0.25">
      <c r="A102" s="1" t="s">
        <v>912</v>
      </c>
      <c r="B102" s="1" t="s">
        <v>324</v>
      </c>
      <c r="C102" s="5">
        <v>45565</v>
      </c>
      <c r="D102" s="6">
        <f t="shared" si="3"/>
        <v>45565</v>
      </c>
      <c r="E102" s="1" t="s">
        <v>11</v>
      </c>
      <c r="F102" s="1" t="s">
        <v>759</v>
      </c>
      <c r="G102" s="1">
        <v>7998</v>
      </c>
      <c r="H102" s="1" cm="1">
        <f t="array" ref="H102">IF(TRIM(G102)="",
   MEDIAN(IFERROR(--SUBSTITUTE(SUBSTITUTE(SUBSTITUTE(SUBSTITUTE(SUBSTITUTE(SUBSTITUTE(G$2:G$747,"Rs.",""),"INR",""),"₹",""),"â‚¹",""),"$","")," ",""),"")),
   IFERROR(--SUBSTITUTE(SUBSTITUTE(SUBSTITUTE(SUBSTITUTE(SUBSTITUTE(SUBSTITUTE(TRIM(G102),"Rs.",""),"INR",""),"₹",""),"â‚¹",""),"$","")," ",""),"")
)</f>
        <v>7998</v>
      </c>
      <c r="I102" s="1">
        <f t="shared" si="4"/>
        <v>7998</v>
      </c>
      <c r="J102" s="1" t="str">
        <f t="shared" si="5"/>
        <v>Nill</v>
      </c>
      <c r="K102" s="1" t="s">
        <v>48</v>
      </c>
      <c r="L102" s="1" t="s">
        <v>40</v>
      </c>
      <c r="M102" s="1" t="s">
        <v>190</v>
      </c>
      <c r="N102"/>
    </row>
    <row r="103" spans="1:14" x14ac:dyDescent="0.25">
      <c r="A103" s="1" t="s">
        <v>1180</v>
      </c>
      <c r="B103" s="1" t="s">
        <v>376</v>
      </c>
      <c r="C103" s="5">
        <v>44767</v>
      </c>
      <c r="D103" s="6">
        <f t="shared" si="3"/>
        <v>44767</v>
      </c>
      <c r="E103" s="1" t="s">
        <v>11</v>
      </c>
      <c r="F103" s="1" t="s">
        <v>85</v>
      </c>
      <c r="G103" s="1">
        <v>1611</v>
      </c>
      <c r="H103" s="1" cm="1">
        <f t="array" ref="H103">IF(TRIM(G103)="",
   MEDIAN(IFERROR(--SUBSTITUTE(SUBSTITUTE(SUBSTITUTE(SUBSTITUTE(SUBSTITUTE(SUBSTITUTE(G$2:G$747,"Rs.",""),"INR",""),"₹",""),"â‚¹",""),"$","")," ",""),"")),
   IFERROR(--SUBSTITUTE(SUBSTITUTE(SUBSTITUTE(SUBSTITUTE(SUBSTITUTE(SUBSTITUTE(TRIM(G103),"Rs.",""),"INR",""),"₹",""),"â‚¹",""),"$","")," ",""),"")
)</f>
        <v>1611</v>
      </c>
      <c r="I103" s="1">
        <f t="shared" si="4"/>
        <v>1611</v>
      </c>
      <c r="J103" s="1" t="str">
        <f t="shared" si="5"/>
        <v>Nill</v>
      </c>
      <c r="K103" s="1" t="s">
        <v>138</v>
      </c>
      <c r="L103" s="1" t="s">
        <v>167</v>
      </c>
      <c r="M103" s="1" t="s">
        <v>1253</v>
      </c>
      <c r="N103"/>
    </row>
    <row r="104" spans="1:14" x14ac:dyDescent="0.25">
      <c r="A104" s="1" t="s">
        <v>1148</v>
      </c>
      <c r="B104" s="1" t="s">
        <v>288</v>
      </c>
      <c r="C104" s="5">
        <v>45522</v>
      </c>
      <c r="D104" s="6">
        <f t="shared" si="3"/>
        <v>45522</v>
      </c>
      <c r="E104" s="1" t="s">
        <v>20</v>
      </c>
      <c r="F104" s="1" t="s">
        <v>112</v>
      </c>
      <c r="G104" s="1">
        <v>77578</v>
      </c>
      <c r="H104" s="1" cm="1">
        <f t="array" ref="H104">IF(TRIM(G104)="",
   MEDIAN(IFERROR(--SUBSTITUTE(SUBSTITUTE(SUBSTITUTE(SUBSTITUTE(SUBSTITUTE(SUBSTITUTE(G$2:G$747,"Rs.",""),"INR",""),"₹",""),"â‚¹",""),"$","")," ",""),"")),
   IFERROR(--SUBSTITUTE(SUBSTITUTE(SUBSTITUTE(SUBSTITUTE(SUBSTITUTE(SUBSTITUTE(TRIM(G104),"Rs.",""),"INR",""),"₹",""),"â‚¹",""),"$","")," ",""),"")
)</f>
        <v>77578</v>
      </c>
      <c r="I104" s="1" t="str">
        <f t="shared" si="4"/>
        <v>Nill</v>
      </c>
      <c r="J104" s="1">
        <f t="shared" si="5"/>
        <v>77578</v>
      </c>
      <c r="K104" s="1" t="s">
        <v>138</v>
      </c>
      <c r="L104" s="1" t="s">
        <v>81</v>
      </c>
      <c r="M104" s="1" t="s">
        <v>1253</v>
      </c>
      <c r="N104"/>
    </row>
    <row r="105" spans="1:14" x14ac:dyDescent="0.25">
      <c r="A105" s="1" t="s">
        <v>404</v>
      </c>
      <c r="B105" s="1" t="s">
        <v>405</v>
      </c>
      <c r="C105" s="5">
        <v>44322</v>
      </c>
      <c r="D105" s="6">
        <f t="shared" si="3"/>
        <v>44322</v>
      </c>
      <c r="E105" s="1" t="s">
        <v>11</v>
      </c>
      <c r="F105" s="1" t="s">
        <v>69</v>
      </c>
      <c r="G105" s="1">
        <v>6502</v>
      </c>
      <c r="H105" s="1" cm="1">
        <f t="array" ref="H105">IF(TRIM(G105)="",
   MEDIAN(IFERROR(--SUBSTITUTE(SUBSTITUTE(SUBSTITUTE(SUBSTITUTE(SUBSTITUTE(SUBSTITUTE(G$2:G$747,"Rs.",""),"INR",""),"₹",""),"â‚¹",""),"$","")," ",""),"")),
   IFERROR(--SUBSTITUTE(SUBSTITUTE(SUBSTITUTE(SUBSTITUTE(SUBSTITUTE(SUBSTITUTE(TRIM(G105),"Rs.",""),"INR",""),"₹",""),"â‚¹",""),"$","")," ",""),"")
)</f>
        <v>6502</v>
      </c>
      <c r="I105" s="1">
        <f t="shared" si="4"/>
        <v>6502</v>
      </c>
      <c r="J105" s="1" t="str">
        <f t="shared" si="5"/>
        <v>Nill</v>
      </c>
      <c r="K105" s="1" t="s">
        <v>12</v>
      </c>
      <c r="L105" s="1" t="s">
        <v>97</v>
      </c>
      <c r="M105" s="1" t="s">
        <v>117</v>
      </c>
      <c r="N105"/>
    </row>
    <row r="106" spans="1:14" x14ac:dyDescent="0.25">
      <c r="A106" s="1" t="s">
        <v>593</v>
      </c>
      <c r="B106" s="1" t="s">
        <v>310</v>
      </c>
      <c r="C106" s="5">
        <v>44818</v>
      </c>
      <c r="D106" s="6">
        <f t="shared" si="3"/>
        <v>44818</v>
      </c>
      <c r="E106" s="1" t="s">
        <v>11</v>
      </c>
      <c r="F106" s="1" t="s">
        <v>85</v>
      </c>
      <c r="G106" s="1">
        <v>3429</v>
      </c>
      <c r="H106" s="1" cm="1">
        <f t="array" ref="H106">IF(TRIM(G106)="",
   MEDIAN(IFERROR(--SUBSTITUTE(SUBSTITUTE(SUBSTITUTE(SUBSTITUTE(SUBSTITUTE(SUBSTITUTE(G$2:G$747,"Rs.",""),"INR",""),"₹",""),"â‚¹",""),"$","")," ",""),"")),
   IFERROR(--SUBSTITUTE(SUBSTITUTE(SUBSTITUTE(SUBSTITUTE(SUBSTITUTE(SUBSTITUTE(TRIM(G106),"Rs.",""),"INR",""),"₹",""),"â‚¹",""),"$","")," ",""),"")
)</f>
        <v>3429</v>
      </c>
      <c r="I106" s="1">
        <f t="shared" si="4"/>
        <v>3429</v>
      </c>
      <c r="J106" s="1" t="str">
        <f t="shared" si="5"/>
        <v>Nill</v>
      </c>
      <c r="K106" s="1" t="s">
        <v>12</v>
      </c>
      <c r="L106" s="1" t="s">
        <v>198</v>
      </c>
      <c r="M106" s="1" t="s">
        <v>255</v>
      </c>
      <c r="N106"/>
    </row>
    <row r="107" spans="1:14" x14ac:dyDescent="0.25">
      <c r="A107" s="1" t="s">
        <v>1188</v>
      </c>
      <c r="B107" s="1" t="s">
        <v>431</v>
      </c>
      <c r="C107" s="5">
        <v>44745</v>
      </c>
      <c r="D107" s="6">
        <f t="shared" si="3"/>
        <v>44745</v>
      </c>
      <c r="E107" s="1" t="s">
        <v>11</v>
      </c>
      <c r="F107" s="1" t="s">
        <v>158</v>
      </c>
      <c r="G107" s="1">
        <v>2265</v>
      </c>
      <c r="H107" s="1" cm="1">
        <f t="array" ref="H107">IF(TRIM(G107)="",
   MEDIAN(IFERROR(--SUBSTITUTE(SUBSTITUTE(SUBSTITUTE(SUBSTITUTE(SUBSTITUTE(SUBSTITUTE(G$2:G$747,"Rs.",""),"INR",""),"₹",""),"â‚¹",""),"$","")," ",""),"")),
   IFERROR(--SUBSTITUTE(SUBSTITUTE(SUBSTITUTE(SUBSTITUTE(SUBSTITUTE(SUBSTITUTE(TRIM(G107),"Rs.",""),"INR",""),"₹",""),"â‚¹",""),"$","")," ",""),"")
)</f>
        <v>2265</v>
      </c>
      <c r="I107" s="1">
        <f t="shared" si="4"/>
        <v>2265</v>
      </c>
      <c r="J107" s="1" t="str">
        <f t="shared" si="5"/>
        <v>Nill</v>
      </c>
      <c r="K107" s="1" t="s">
        <v>87</v>
      </c>
      <c r="L107" s="1" t="s">
        <v>127</v>
      </c>
      <c r="M107" s="1" t="s">
        <v>210</v>
      </c>
      <c r="N107"/>
    </row>
    <row r="108" spans="1:14" x14ac:dyDescent="0.25">
      <c r="A108" s="1" t="s">
        <v>605</v>
      </c>
      <c r="B108" s="1" t="s">
        <v>606</v>
      </c>
      <c r="C108" s="5">
        <v>45483</v>
      </c>
      <c r="D108" s="6">
        <f t="shared" si="3"/>
        <v>45483</v>
      </c>
      <c r="E108" s="1" t="s">
        <v>11</v>
      </c>
      <c r="F108" s="1" t="s">
        <v>171</v>
      </c>
      <c r="G108" s="1">
        <v>7335</v>
      </c>
      <c r="H108" s="1" cm="1">
        <f t="array" ref="H108">IF(TRIM(G108)="",
   MEDIAN(IFERROR(--SUBSTITUTE(SUBSTITUTE(SUBSTITUTE(SUBSTITUTE(SUBSTITUTE(SUBSTITUTE(G$2:G$747,"Rs.",""),"INR",""),"₹",""),"â‚¹",""),"$","")," ",""),"")),
   IFERROR(--SUBSTITUTE(SUBSTITUTE(SUBSTITUTE(SUBSTITUTE(SUBSTITUTE(SUBSTITUTE(TRIM(G108),"Rs.",""),"INR",""),"₹",""),"â‚¹",""),"$","")," ",""),"")
)</f>
        <v>7335</v>
      </c>
      <c r="I108" s="1">
        <f t="shared" si="4"/>
        <v>7335</v>
      </c>
      <c r="J108" s="1" t="str">
        <f t="shared" si="5"/>
        <v>Nill</v>
      </c>
      <c r="K108" s="1" t="s">
        <v>25</v>
      </c>
      <c r="L108" s="1" t="s">
        <v>299</v>
      </c>
      <c r="M108" s="1" t="s">
        <v>1253</v>
      </c>
      <c r="N108"/>
    </row>
    <row r="109" spans="1:14" x14ac:dyDescent="0.25">
      <c r="A109" s="1" t="s">
        <v>1115</v>
      </c>
      <c r="B109" s="1" t="s">
        <v>61</v>
      </c>
      <c r="C109" s="5">
        <v>44358</v>
      </c>
      <c r="D109" s="6">
        <f t="shared" si="3"/>
        <v>44358</v>
      </c>
      <c r="E109" s="1" t="s">
        <v>11</v>
      </c>
      <c r="F109" s="1" t="s">
        <v>85</v>
      </c>
      <c r="G109" s="1">
        <v>9647</v>
      </c>
      <c r="H109" s="1" cm="1">
        <f t="array" ref="H109">IF(TRIM(G109)="",
   MEDIAN(IFERROR(--SUBSTITUTE(SUBSTITUTE(SUBSTITUTE(SUBSTITUTE(SUBSTITUTE(SUBSTITUTE(G$2:G$747,"Rs.",""),"INR",""),"₹",""),"â‚¹",""),"$","")," ",""),"")),
   IFERROR(--SUBSTITUTE(SUBSTITUTE(SUBSTITUTE(SUBSTITUTE(SUBSTITUTE(SUBSTITUTE(TRIM(G109),"Rs.",""),"INR",""),"₹",""),"â‚¹",""),"$","")," ",""),"")
)</f>
        <v>9647</v>
      </c>
      <c r="I109" s="1">
        <f t="shared" si="4"/>
        <v>9647</v>
      </c>
      <c r="J109" s="1" t="str">
        <f t="shared" si="5"/>
        <v>Nill</v>
      </c>
      <c r="K109" s="1" t="s">
        <v>48</v>
      </c>
      <c r="L109" s="1" t="s">
        <v>167</v>
      </c>
      <c r="M109" s="1" t="s">
        <v>54</v>
      </c>
      <c r="N109"/>
    </row>
    <row r="110" spans="1:14" x14ac:dyDescent="0.25">
      <c r="A110" s="1" t="s">
        <v>1098</v>
      </c>
      <c r="B110" s="1" t="s">
        <v>176</v>
      </c>
      <c r="C110" s="1" t="s">
        <v>1099</v>
      </c>
      <c r="D110" s="6">
        <f t="shared" si="3"/>
        <v>45216</v>
      </c>
      <c r="E110" s="1" t="s">
        <v>11</v>
      </c>
      <c r="F110" s="1" t="s">
        <v>759</v>
      </c>
      <c r="G110" s="1">
        <v>847</v>
      </c>
      <c r="H110" s="1" cm="1">
        <f t="array" ref="H110">IF(TRIM(G110)="",
   MEDIAN(IFERROR(--SUBSTITUTE(SUBSTITUTE(SUBSTITUTE(SUBSTITUTE(SUBSTITUTE(SUBSTITUTE(G$2:G$747,"Rs.",""),"INR",""),"₹",""),"â‚¹",""),"$","")," ",""),"")),
   IFERROR(--SUBSTITUTE(SUBSTITUTE(SUBSTITUTE(SUBSTITUTE(SUBSTITUTE(SUBSTITUTE(TRIM(G110),"Rs.",""),"INR",""),"₹",""),"â‚¹",""),"$","")," ",""),"")
)</f>
        <v>847</v>
      </c>
      <c r="I110" s="1">
        <f t="shared" si="4"/>
        <v>847</v>
      </c>
      <c r="J110" s="1" t="str">
        <f t="shared" si="5"/>
        <v>Nill</v>
      </c>
      <c r="K110" s="1" t="s">
        <v>31</v>
      </c>
      <c r="L110" s="1" t="s">
        <v>1252</v>
      </c>
      <c r="M110" s="1" t="s">
        <v>76</v>
      </c>
      <c r="N110"/>
    </row>
    <row r="111" spans="1:14" x14ac:dyDescent="0.25">
      <c r="A111" s="1" t="s">
        <v>1095</v>
      </c>
      <c r="B111" s="1" t="s">
        <v>226</v>
      </c>
      <c r="C111" s="5">
        <v>45284</v>
      </c>
      <c r="D111" s="6">
        <f t="shared" si="3"/>
        <v>45284</v>
      </c>
      <c r="E111" s="1" t="s">
        <v>11</v>
      </c>
      <c r="F111" s="1" t="s">
        <v>158</v>
      </c>
      <c r="G111" s="1">
        <v>4103</v>
      </c>
      <c r="H111" s="1" cm="1">
        <f t="array" ref="H111">IF(TRIM(G111)="",
   MEDIAN(IFERROR(--SUBSTITUTE(SUBSTITUTE(SUBSTITUTE(SUBSTITUTE(SUBSTITUTE(SUBSTITUTE(G$2:G$747,"Rs.",""),"INR",""),"₹",""),"â‚¹",""),"$","")," ",""),"")),
   IFERROR(--SUBSTITUTE(SUBSTITUTE(SUBSTITUTE(SUBSTITUTE(SUBSTITUTE(SUBSTITUTE(TRIM(G111),"Rs.",""),"INR",""),"₹",""),"â‚¹",""),"$","")," ",""),"")
)</f>
        <v>4103</v>
      </c>
      <c r="I111" s="1">
        <f t="shared" si="4"/>
        <v>4103</v>
      </c>
      <c r="J111" s="1" t="str">
        <f t="shared" si="5"/>
        <v>Nill</v>
      </c>
      <c r="K111" s="1" t="s">
        <v>25</v>
      </c>
      <c r="L111" s="1" t="s">
        <v>167</v>
      </c>
      <c r="M111" s="1" t="s">
        <v>14</v>
      </c>
      <c r="N111"/>
    </row>
    <row r="112" spans="1:14" x14ac:dyDescent="0.25">
      <c r="A112" s="1" t="s">
        <v>796</v>
      </c>
      <c r="B112" s="1" t="s">
        <v>516</v>
      </c>
      <c r="C112" s="5">
        <v>44512</v>
      </c>
      <c r="D112" s="6">
        <f t="shared" si="3"/>
        <v>44512</v>
      </c>
      <c r="E112" s="1" t="s">
        <v>11</v>
      </c>
      <c r="F112" s="1" t="s">
        <v>171</v>
      </c>
      <c r="G112" s="1">
        <v>32436</v>
      </c>
      <c r="H112" s="1" cm="1">
        <f t="array" ref="H112">IF(TRIM(G112)="",
   MEDIAN(IFERROR(--SUBSTITUTE(SUBSTITUTE(SUBSTITUTE(SUBSTITUTE(SUBSTITUTE(SUBSTITUTE(G$2:G$747,"Rs.",""),"INR",""),"₹",""),"â‚¹",""),"$","")," ",""),"")),
   IFERROR(--SUBSTITUTE(SUBSTITUTE(SUBSTITUTE(SUBSTITUTE(SUBSTITUTE(SUBSTITUTE(TRIM(G112),"Rs.",""),"INR",""),"₹",""),"â‚¹",""),"$","")," ",""),"")
)</f>
        <v>32436</v>
      </c>
      <c r="I112" s="1">
        <f t="shared" si="4"/>
        <v>32436</v>
      </c>
      <c r="J112" s="1" t="str">
        <f t="shared" si="5"/>
        <v>Nill</v>
      </c>
      <c r="K112" s="1" t="s">
        <v>12</v>
      </c>
      <c r="L112" s="1" t="s">
        <v>1252</v>
      </c>
      <c r="M112" s="1" t="s">
        <v>1253</v>
      </c>
      <c r="N112"/>
    </row>
    <row r="113" spans="1:14" x14ac:dyDescent="0.25">
      <c r="A113" s="1" t="s">
        <v>1227</v>
      </c>
      <c r="B113" s="1" t="s">
        <v>281</v>
      </c>
      <c r="C113" s="5">
        <v>45062</v>
      </c>
      <c r="D113" s="6">
        <f t="shared" si="3"/>
        <v>45062</v>
      </c>
      <c r="E113" s="1" t="s">
        <v>11</v>
      </c>
      <c r="F113" s="1" t="s">
        <v>171</v>
      </c>
      <c r="G113" s="1" t="s">
        <v>1228</v>
      </c>
      <c r="H113" s="1" cm="1">
        <f t="array" ref="H113">IF(TRIM(G113)="",
   MEDIAN(IFERROR(--SUBSTITUTE(SUBSTITUTE(SUBSTITUTE(SUBSTITUTE(SUBSTITUTE(SUBSTITUTE(G$2:G$747,"Rs.",""),"INR",""),"₹",""),"â‚¹",""),"$","")," ",""),"")),
   IFERROR(--SUBSTITUTE(SUBSTITUTE(SUBSTITUTE(SUBSTITUTE(SUBSTITUTE(SUBSTITUTE(TRIM(G113),"Rs.",""),"INR",""),"₹",""),"â‚¹",""),"$","")," ",""),"")
)</f>
        <v>6790</v>
      </c>
      <c r="I113" s="1">
        <f t="shared" si="4"/>
        <v>6790</v>
      </c>
      <c r="J113" s="1" t="str">
        <f t="shared" si="5"/>
        <v>Nill</v>
      </c>
      <c r="K113" s="1" t="s">
        <v>138</v>
      </c>
      <c r="L113" s="1" t="s">
        <v>217</v>
      </c>
      <c r="M113" s="1" t="s">
        <v>1253</v>
      </c>
      <c r="N113"/>
    </row>
    <row r="114" spans="1:14" x14ac:dyDescent="0.25">
      <c r="A114" s="1" t="s">
        <v>294</v>
      </c>
      <c r="B114" s="1" t="s">
        <v>295</v>
      </c>
      <c r="C114" s="5">
        <v>45618</v>
      </c>
      <c r="D114" s="6">
        <f t="shared" si="3"/>
        <v>45618</v>
      </c>
      <c r="E114" s="1" t="s">
        <v>11</v>
      </c>
      <c r="F114" s="1" t="s">
        <v>465</v>
      </c>
      <c r="G114" s="1">
        <v>3929</v>
      </c>
      <c r="H114" s="1" cm="1">
        <f t="array" ref="H114">IF(TRIM(G114)="",
   MEDIAN(IFERROR(--SUBSTITUTE(SUBSTITUTE(SUBSTITUTE(SUBSTITUTE(SUBSTITUTE(SUBSTITUTE(G$2:G$747,"Rs.",""),"INR",""),"₹",""),"â‚¹",""),"$","")," ",""),"")),
   IFERROR(--SUBSTITUTE(SUBSTITUTE(SUBSTITUTE(SUBSTITUTE(SUBSTITUTE(SUBSTITUTE(TRIM(G114),"Rs.",""),"INR",""),"₹",""),"â‚¹",""),"$","")," ",""),"")
)</f>
        <v>3929</v>
      </c>
      <c r="I114" s="1">
        <f t="shared" si="4"/>
        <v>3929</v>
      </c>
      <c r="J114" s="1" t="str">
        <f t="shared" si="5"/>
        <v>Nill</v>
      </c>
      <c r="K114" s="1" t="s">
        <v>12</v>
      </c>
      <c r="L114" s="1" t="s">
        <v>1252</v>
      </c>
      <c r="M114" s="1" t="s">
        <v>117</v>
      </c>
      <c r="N114"/>
    </row>
    <row r="115" spans="1:14" x14ac:dyDescent="0.25">
      <c r="A115" s="1" t="s">
        <v>154</v>
      </c>
      <c r="B115" s="1" t="s">
        <v>155</v>
      </c>
      <c r="C115" s="5">
        <v>45147</v>
      </c>
      <c r="D115" s="6">
        <f t="shared" si="3"/>
        <v>45147</v>
      </c>
      <c r="E115" s="1" t="s">
        <v>11</v>
      </c>
      <c r="F115" s="1" t="s">
        <v>465</v>
      </c>
      <c r="G115" s="1">
        <v>2134</v>
      </c>
      <c r="H115" s="1" cm="1">
        <f t="array" ref="H115">IF(TRIM(G115)="",
   MEDIAN(IFERROR(--SUBSTITUTE(SUBSTITUTE(SUBSTITUTE(SUBSTITUTE(SUBSTITUTE(SUBSTITUTE(G$2:G$747,"Rs.",""),"INR",""),"₹",""),"â‚¹",""),"$","")," ",""),"")),
   IFERROR(--SUBSTITUTE(SUBSTITUTE(SUBSTITUTE(SUBSTITUTE(SUBSTITUTE(SUBSTITUTE(TRIM(G115),"Rs.",""),"INR",""),"₹",""),"â‚¹",""),"$","")," ",""),"")
)</f>
        <v>2134</v>
      </c>
      <c r="I115" s="1">
        <f t="shared" si="4"/>
        <v>2134</v>
      </c>
      <c r="J115" s="1" t="str">
        <f t="shared" si="5"/>
        <v>Nill</v>
      </c>
      <c r="K115" s="1" t="s">
        <v>25</v>
      </c>
      <c r="L115" s="1" t="s">
        <v>97</v>
      </c>
      <c r="M115" s="1" t="s">
        <v>22</v>
      </c>
      <c r="N115"/>
    </row>
    <row r="116" spans="1:14" x14ac:dyDescent="0.25">
      <c r="A116" s="1" t="s">
        <v>495</v>
      </c>
      <c r="B116" s="1" t="s">
        <v>243</v>
      </c>
      <c r="C116" s="5">
        <v>44761</v>
      </c>
      <c r="D116" s="6">
        <f t="shared" si="3"/>
        <v>44761</v>
      </c>
      <c r="E116" s="1" t="s">
        <v>11</v>
      </c>
      <c r="F116" s="1" t="s">
        <v>171</v>
      </c>
      <c r="G116" s="1">
        <v>40813</v>
      </c>
      <c r="H116" s="1" cm="1">
        <f t="array" ref="H116">IF(TRIM(G116)="",
   MEDIAN(IFERROR(--SUBSTITUTE(SUBSTITUTE(SUBSTITUTE(SUBSTITUTE(SUBSTITUTE(SUBSTITUTE(G$2:G$747,"Rs.",""),"INR",""),"₹",""),"â‚¹",""),"$","")," ",""),"")),
   IFERROR(--SUBSTITUTE(SUBSTITUTE(SUBSTITUTE(SUBSTITUTE(SUBSTITUTE(SUBSTITUTE(TRIM(G116),"Rs.",""),"INR",""),"₹",""),"â‚¹",""),"$","")," ",""),"")
)</f>
        <v>40813</v>
      </c>
      <c r="I116" s="1">
        <f t="shared" si="4"/>
        <v>40813</v>
      </c>
      <c r="J116" s="1" t="str">
        <f t="shared" si="5"/>
        <v>Nill</v>
      </c>
      <c r="K116" s="1" t="s">
        <v>172</v>
      </c>
      <c r="L116" s="1" t="s">
        <v>127</v>
      </c>
      <c r="M116" s="1" t="s">
        <v>22</v>
      </c>
      <c r="N116"/>
    </row>
    <row r="117" spans="1:14" x14ac:dyDescent="0.25">
      <c r="A117" s="1" t="s">
        <v>539</v>
      </c>
      <c r="B117" s="1" t="s">
        <v>279</v>
      </c>
      <c r="C117" s="5">
        <v>45101</v>
      </c>
      <c r="D117" s="6">
        <f t="shared" si="3"/>
        <v>45101</v>
      </c>
      <c r="E117" s="1" t="s">
        <v>11</v>
      </c>
      <c r="F117" s="1" t="s">
        <v>85</v>
      </c>
      <c r="H117" s="1" cm="1">
        <f t="array" ref="H117">IF(TRIM(G117)="",
   MEDIAN(IFERROR(--SUBSTITUTE(SUBSTITUTE(SUBSTITUTE(SUBSTITUTE(SUBSTITUTE(SUBSTITUTE(G$2:G$747,"Rs.",""),"INR",""),"₹",""),"â‚¹",""),"$","")," ",""),"")),
   IFERROR(--SUBSTITUTE(SUBSTITUTE(SUBSTITUTE(SUBSTITUTE(SUBSTITUTE(SUBSTITUTE(TRIM(G117),"Rs.",""),"INR",""),"₹",""),"â‚¹",""),"$","")," ",""),"")
)</f>
        <v>5935</v>
      </c>
      <c r="I117" s="1">
        <f t="shared" si="4"/>
        <v>5935</v>
      </c>
      <c r="J117" s="1" t="str">
        <f t="shared" si="5"/>
        <v>Nill</v>
      </c>
      <c r="K117" s="1" t="s">
        <v>12</v>
      </c>
      <c r="L117" s="1" t="s">
        <v>299</v>
      </c>
      <c r="M117" s="1" t="s">
        <v>133</v>
      </c>
      <c r="N117"/>
    </row>
    <row r="118" spans="1:14" x14ac:dyDescent="0.25">
      <c r="A118" s="1" t="s">
        <v>444</v>
      </c>
      <c r="B118" s="1" t="s">
        <v>283</v>
      </c>
      <c r="C118" s="5">
        <v>45453</v>
      </c>
      <c r="D118" s="6">
        <f t="shared" si="3"/>
        <v>45453</v>
      </c>
      <c r="E118" s="1" t="s">
        <v>20</v>
      </c>
      <c r="F118" s="1" t="s">
        <v>239</v>
      </c>
      <c r="G118" s="1">
        <v>33565</v>
      </c>
      <c r="H118" s="1" cm="1">
        <f t="array" ref="H118">IF(TRIM(G118)="",
   MEDIAN(IFERROR(--SUBSTITUTE(SUBSTITUTE(SUBSTITUTE(SUBSTITUTE(SUBSTITUTE(SUBSTITUTE(G$2:G$747,"Rs.",""),"INR",""),"₹",""),"â‚¹",""),"$","")," ",""),"")),
   IFERROR(--SUBSTITUTE(SUBSTITUTE(SUBSTITUTE(SUBSTITUTE(SUBSTITUTE(SUBSTITUTE(TRIM(G118),"Rs.",""),"INR",""),"₹",""),"â‚¹",""),"$","")," ",""),"")
)</f>
        <v>33565</v>
      </c>
      <c r="I118" s="1" t="str">
        <f t="shared" si="4"/>
        <v>Nill</v>
      </c>
      <c r="J118" s="1">
        <f t="shared" si="5"/>
        <v>33565</v>
      </c>
      <c r="K118" s="1" t="s">
        <v>138</v>
      </c>
      <c r="L118" s="1" t="s">
        <v>17</v>
      </c>
      <c r="M118" s="1" t="s">
        <v>54</v>
      </c>
      <c r="N118"/>
    </row>
    <row r="119" spans="1:14" x14ac:dyDescent="0.25">
      <c r="A119" s="1" t="s">
        <v>1100</v>
      </c>
      <c r="B119" s="1" t="s">
        <v>208</v>
      </c>
      <c r="C119" s="5">
        <v>44511</v>
      </c>
      <c r="D119" s="6">
        <f t="shared" si="3"/>
        <v>44511</v>
      </c>
      <c r="E119" s="1" t="s">
        <v>11</v>
      </c>
      <c r="F119" s="1" t="s">
        <v>171</v>
      </c>
      <c r="G119" s="1">
        <v>49400</v>
      </c>
      <c r="H119" s="1" cm="1">
        <f t="array" ref="H119">IF(TRIM(G119)="",
   MEDIAN(IFERROR(--SUBSTITUTE(SUBSTITUTE(SUBSTITUTE(SUBSTITUTE(SUBSTITUTE(SUBSTITUTE(G$2:G$747,"Rs.",""),"INR",""),"₹",""),"â‚¹",""),"$","")," ",""),"")),
   IFERROR(--SUBSTITUTE(SUBSTITUTE(SUBSTITUTE(SUBSTITUTE(SUBSTITUTE(SUBSTITUTE(TRIM(G119),"Rs.",""),"INR",""),"₹",""),"â‚¹",""),"$","")," ",""),"")
)</f>
        <v>49400</v>
      </c>
      <c r="I119" s="1">
        <f t="shared" si="4"/>
        <v>49400</v>
      </c>
      <c r="J119" s="1" t="str">
        <f t="shared" si="5"/>
        <v>Nill</v>
      </c>
      <c r="K119" s="1" t="s">
        <v>31</v>
      </c>
      <c r="L119" s="1" t="s">
        <v>299</v>
      </c>
      <c r="M119" s="1" t="s">
        <v>76</v>
      </c>
      <c r="N119"/>
    </row>
    <row r="120" spans="1:14" x14ac:dyDescent="0.25">
      <c r="A120" s="1" t="s">
        <v>1139</v>
      </c>
      <c r="B120" s="1" t="s">
        <v>10</v>
      </c>
      <c r="C120" s="5">
        <v>44900</v>
      </c>
      <c r="D120" s="6">
        <f t="shared" si="3"/>
        <v>44900</v>
      </c>
      <c r="E120" s="1" t="s">
        <v>11</v>
      </c>
      <c r="F120" s="1" t="s">
        <v>249</v>
      </c>
      <c r="G120" s="1">
        <v>4494</v>
      </c>
      <c r="H120" s="1" cm="1">
        <f t="array" ref="H120">IF(TRIM(G120)="",
   MEDIAN(IFERROR(--SUBSTITUTE(SUBSTITUTE(SUBSTITUTE(SUBSTITUTE(SUBSTITUTE(SUBSTITUTE(G$2:G$747,"Rs.",""),"INR",""),"₹",""),"â‚¹",""),"$","")," ",""),"")),
   IFERROR(--SUBSTITUTE(SUBSTITUTE(SUBSTITUTE(SUBSTITUTE(SUBSTITUTE(SUBSTITUTE(TRIM(G120),"Rs.",""),"INR",""),"₹",""),"â‚¹",""),"$","")," ",""),"")
)</f>
        <v>4494</v>
      </c>
      <c r="I120" s="1">
        <f t="shared" si="4"/>
        <v>4494</v>
      </c>
      <c r="J120" s="1" t="str">
        <f t="shared" si="5"/>
        <v>Nill</v>
      </c>
      <c r="K120" s="1" t="s">
        <v>25</v>
      </c>
      <c r="L120" s="1" t="s">
        <v>97</v>
      </c>
      <c r="M120" s="1" t="s">
        <v>1253</v>
      </c>
      <c r="N120"/>
    </row>
    <row r="121" spans="1:14" x14ac:dyDescent="0.25">
      <c r="A121" s="1" t="s">
        <v>520</v>
      </c>
      <c r="B121" s="1" t="s">
        <v>46</v>
      </c>
      <c r="C121" s="5">
        <v>44840</v>
      </c>
      <c r="D121" s="6">
        <f t="shared" si="3"/>
        <v>44840</v>
      </c>
      <c r="E121" s="1" t="s">
        <v>11</v>
      </c>
      <c r="F121" s="1" t="s">
        <v>85</v>
      </c>
      <c r="G121" s="1">
        <v>6691</v>
      </c>
      <c r="H121" s="1" cm="1">
        <f t="array" ref="H121">IF(TRIM(G121)="",
   MEDIAN(IFERROR(--SUBSTITUTE(SUBSTITUTE(SUBSTITUTE(SUBSTITUTE(SUBSTITUTE(SUBSTITUTE(G$2:G$747,"Rs.",""),"INR",""),"₹",""),"â‚¹",""),"$","")," ",""),"")),
   IFERROR(--SUBSTITUTE(SUBSTITUTE(SUBSTITUTE(SUBSTITUTE(SUBSTITUTE(SUBSTITUTE(TRIM(G121),"Rs.",""),"INR",""),"₹",""),"â‚¹",""),"$","")," ",""),"")
)</f>
        <v>6691</v>
      </c>
      <c r="I121" s="1">
        <f t="shared" si="4"/>
        <v>6691</v>
      </c>
      <c r="J121" s="1" t="str">
        <f t="shared" si="5"/>
        <v>Nill</v>
      </c>
      <c r="K121" s="1" t="s">
        <v>12</v>
      </c>
      <c r="L121" s="1" t="s">
        <v>17</v>
      </c>
      <c r="M121" s="1" t="s">
        <v>88</v>
      </c>
      <c r="N121"/>
    </row>
    <row r="122" spans="1:14" x14ac:dyDescent="0.25">
      <c r="A122" s="1" t="s">
        <v>196</v>
      </c>
      <c r="B122" s="1" t="s">
        <v>197</v>
      </c>
      <c r="C122" s="5">
        <v>45308</v>
      </c>
      <c r="D122" s="6">
        <f t="shared" si="3"/>
        <v>45308</v>
      </c>
      <c r="E122" s="1" t="s">
        <v>11</v>
      </c>
      <c r="F122" s="1" t="s">
        <v>69</v>
      </c>
      <c r="G122" s="1">
        <v>3047</v>
      </c>
      <c r="H122" s="1" cm="1">
        <f t="array" ref="H122">IF(TRIM(G122)="",
   MEDIAN(IFERROR(--SUBSTITUTE(SUBSTITUTE(SUBSTITUTE(SUBSTITUTE(SUBSTITUTE(SUBSTITUTE(G$2:G$747,"Rs.",""),"INR",""),"₹",""),"â‚¹",""),"$","")," ",""),"")),
   IFERROR(--SUBSTITUTE(SUBSTITUTE(SUBSTITUTE(SUBSTITUTE(SUBSTITUTE(SUBSTITUTE(TRIM(G122),"Rs.",""),"INR",""),"₹",""),"â‚¹",""),"$","")," ",""),"")
)</f>
        <v>3047</v>
      </c>
      <c r="I122" s="1">
        <f t="shared" si="4"/>
        <v>3047</v>
      </c>
      <c r="J122" s="1" t="str">
        <f t="shared" si="5"/>
        <v>Nill</v>
      </c>
      <c r="K122" s="1" t="s">
        <v>12</v>
      </c>
      <c r="L122" s="1" t="s">
        <v>198</v>
      </c>
      <c r="M122" s="1" t="s">
        <v>49</v>
      </c>
      <c r="N122"/>
    </row>
    <row r="123" spans="1:14" x14ac:dyDescent="0.25">
      <c r="A123" s="1" t="s">
        <v>515</v>
      </c>
      <c r="B123" s="1" t="s">
        <v>516</v>
      </c>
      <c r="C123" s="5">
        <v>45447</v>
      </c>
      <c r="D123" s="6">
        <f t="shared" si="3"/>
        <v>45447</v>
      </c>
      <c r="E123" s="1" t="s">
        <v>11</v>
      </c>
      <c r="F123" s="1" t="s">
        <v>69</v>
      </c>
      <c r="G123" s="1">
        <v>4603</v>
      </c>
      <c r="H123" s="1" cm="1">
        <f t="array" ref="H123">IF(TRIM(G123)="",
   MEDIAN(IFERROR(--SUBSTITUTE(SUBSTITUTE(SUBSTITUTE(SUBSTITUTE(SUBSTITUTE(SUBSTITUTE(G$2:G$747,"Rs.",""),"INR",""),"₹",""),"â‚¹",""),"$","")," ",""),"")),
   IFERROR(--SUBSTITUTE(SUBSTITUTE(SUBSTITUTE(SUBSTITUTE(SUBSTITUTE(SUBSTITUTE(TRIM(G123),"Rs.",""),"INR",""),"₹",""),"â‚¹",""),"$","")," ",""),"")
)</f>
        <v>4603</v>
      </c>
      <c r="I123" s="1">
        <f t="shared" si="4"/>
        <v>4603</v>
      </c>
      <c r="J123" s="1" t="str">
        <f t="shared" si="5"/>
        <v>Nill</v>
      </c>
      <c r="K123" s="1" t="s">
        <v>75</v>
      </c>
      <c r="L123" s="1" t="s">
        <v>13</v>
      </c>
      <c r="M123" s="1" t="s">
        <v>190</v>
      </c>
      <c r="N123"/>
    </row>
    <row r="124" spans="1:14" x14ac:dyDescent="0.25">
      <c r="A124" s="1" t="s">
        <v>1206</v>
      </c>
      <c r="B124" s="1" t="s">
        <v>37</v>
      </c>
      <c r="C124" s="5">
        <v>44567</v>
      </c>
      <c r="D124" s="6">
        <f t="shared" si="3"/>
        <v>44567</v>
      </c>
      <c r="E124" s="1" t="s">
        <v>11</v>
      </c>
      <c r="F124" s="1" t="s">
        <v>69</v>
      </c>
      <c r="G124" s="1">
        <v>6666</v>
      </c>
      <c r="H124" s="1" cm="1">
        <f t="array" ref="H124">IF(TRIM(G124)="",
   MEDIAN(IFERROR(--SUBSTITUTE(SUBSTITUTE(SUBSTITUTE(SUBSTITUTE(SUBSTITUTE(SUBSTITUTE(G$2:G$747,"Rs.",""),"INR",""),"₹",""),"â‚¹",""),"$","")," ",""),"")),
   IFERROR(--SUBSTITUTE(SUBSTITUTE(SUBSTITUTE(SUBSTITUTE(SUBSTITUTE(SUBSTITUTE(TRIM(G124),"Rs.",""),"INR",""),"₹",""),"â‚¹",""),"$","")," ",""),"")
)</f>
        <v>6666</v>
      </c>
      <c r="I124" s="1">
        <f t="shared" si="4"/>
        <v>6666</v>
      </c>
      <c r="J124" s="1" t="str">
        <f t="shared" si="5"/>
        <v>Nill</v>
      </c>
      <c r="K124" s="1" t="s">
        <v>75</v>
      </c>
      <c r="L124" s="1" t="s">
        <v>97</v>
      </c>
      <c r="M124" s="1" t="s">
        <v>35</v>
      </c>
      <c r="N124"/>
    </row>
    <row r="125" spans="1:14" x14ac:dyDescent="0.25">
      <c r="A125" s="1" t="s">
        <v>577</v>
      </c>
      <c r="B125" s="1" t="s">
        <v>410</v>
      </c>
      <c r="D125" s="6" t="str">
        <f t="shared" si="3"/>
        <v>unknown</v>
      </c>
      <c r="E125" s="1" t="s">
        <v>11</v>
      </c>
      <c r="F125" s="1" t="s">
        <v>104</v>
      </c>
      <c r="G125" s="1" t="s">
        <v>578</v>
      </c>
      <c r="H125" s="1" cm="1">
        <f t="array" ref="H125">IF(TRIM(G125)="",
   MEDIAN(IFERROR(--SUBSTITUTE(SUBSTITUTE(SUBSTITUTE(SUBSTITUTE(SUBSTITUTE(SUBSTITUTE(G$2:G$747,"Rs.",""),"INR",""),"₹",""),"â‚¹",""),"$","")," ",""),"")),
   IFERROR(--SUBSTITUTE(SUBSTITUTE(SUBSTITUTE(SUBSTITUTE(SUBSTITUTE(SUBSTITUTE(TRIM(G125),"Rs.",""),"INR",""),"₹",""),"â‚¹",""),"$","")," ",""),"")
)</f>
        <v>6699</v>
      </c>
      <c r="I125" s="1">
        <f t="shared" si="4"/>
        <v>6699</v>
      </c>
      <c r="J125" s="1" t="str">
        <f t="shared" si="5"/>
        <v>Nill</v>
      </c>
      <c r="K125" s="1" t="s">
        <v>138</v>
      </c>
      <c r="L125" s="1" t="s">
        <v>40</v>
      </c>
      <c r="M125" s="1" t="s">
        <v>122</v>
      </c>
      <c r="N125"/>
    </row>
    <row r="126" spans="1:14" x14ac:dyDescent="0.25">
      <c r="A126" s="1" t="s">
        <v>348</v>
      </c>
      <c r="B126" s="1" t="s">
        <v>94</v>
      </c>
      <c r="C126" s="5">
        <v>45631</v>
      </c>
      <c r="D126" s="6">
        <f t="shared" si="3"/>
        <v>45631</v>
      </c>
      <c r="E126" s="1" t="s">
        <v>20</v>
      </c>
      <c r="F126" s="1" t="s">
        <v>112</v>
      </c>
      <c r="G126" s="1">
        <v>44031</v>
      </c>
      <c r="H126" s="1" cm="1">
        <f t="array" ref="H126">IF(TRIM(G126)="",
   MEDIAN(IFERROR(--SUBSTITUTE(SUBSTITUTE(SUBSTITUTE(SUBSTITUTE(SUBSTITUTE(SUBSTITUTE(G$2:G$747,"Rs.",""),"INR",""),"₹",""),"â‚¹",""),"$","")," ",""),"")),
   IFERROR(--SUBSTITUTE(SUBSTITUTE(SUBSTITUTE(SUBSTITUTE(SUBSTITUTE(SUBSTITUTE(TRIM(G126),"Rs.",""),"INR",""),"₹",""),"â‚¹",""),"$","")," ",""),"")
)</f>
        <v>44031</v>
      </c>
      <c r="I126" s="1" t="str">
        <f t="shared" si="4"/>
        <v>Nill</v>
      </c>
      <c r="J126" s="1">
        <f t="shared" si="5"/>
        <v>44031</v>
      </c>
      <c r="K126" s="1" t="s">
        <v>25</v>
      </c>
      <c r="L126" s="1" t="s">
        <v>17</v>
      </c>
      <c r="M126" s="1" t="s">
        <v>128</v>
      </c>
      <c r="N126"/>
    </row>
    <row r="127" spans="1:14" x14ac:dyDescent="0.25">
      <c r="A127" s="1" t="s">
        <v>71</v>
      </c>
      <c r="B127" s="1" t="s">
        <v>72</v>
      </c>
      <c r="C127" s="5">
        <v>45079</v>
      </c>
      <c r="D127" s="6">
        <f t="shared" si="3"/>
        <v>45079</v>
      </c>
      <c r="E127" s="1" t="s">
        <v>20</v>
      </c>
      <c r="F127" s="1" t="s">
        <v>21</v>
      </c>
      <c r="G127" s="1">
        <v>25143</v>
      </c>
      <c r="H127" s="1" cm="1">
        <f t="array" ref="H127">IF(TRIM(G127)="",
   MEDIAN(IFERROR(--SUBSTITUTE(SUBSTITUTE(SUBSTITUTE(SUBSTITUTE(SUBSTITUTE(SUBSTITUTE(G$2:G$747,"Rs.",""),"INR",""),"₹",""),"â‚¹",""),"$","")," ",""),"")),
   IFERROR(--SUBSTITUTE(SUBSTITUTE(SUBSTITUTE(SUBSTITUTE(SUBSTITUTE(SUBSTITUTE(TRIM(G127),"Rs.",""),"INR",""),"₹",""),"â‚¹",""),"$","")," ",""),"")
)</f>
        <v>25143</v>
      </c>
      <c r="I127" s="1" t="str">
        <f t="shared" si="4"/>
        <v>Nill</v>
      </c>
      <c r="J127" s="1">
        <f t="shared" si="5"/>
        <v>25143</v>
      </c>
      <c r="K127" s="1" t="s">
        <v>12</v>
      </c>
      <c r="L127" s="1" t="s">
        <v>299</v>
      </c>
      <c r="M127" s="1" t="s">
        <v>1253</v>
      </c>
      <c r="N127"/>
    </row>
    <row r="128" spans="1:14" x14ac:dyDescent="0.25">
      <c r="A128" s="1" t="s">
        <v>165</v>
      </c>
      <c r="B128" s="1" t="s">
        <v>166</v>
      </c>
      <c r="C128" s="5">
        <v>44476</v>
      </c>
      <c r="D128" s="6">
        <f t="shared" si="3"/>
        <v>44476</v>
      </c>
      <c r="E128" s="1" t="s">
        <v>11</v>
      </c>
      <c r="F128" s="1" t="s">
        <v>69</v>
      </c>
      <c r="G128" s="1">
        <v>225</v>
      </c>
      <c r="H128" s="1" cm="1">
        <f t="array" ref="H128">IF(TRIM(G128)="",
   MEDIAN(IFERROR(--SUBSTITUTE(SUBSTITUTE(SUBSTITUTE(SUBSTITUTE(SUBSTITUTE(SUBSTITUTE(G$2:G$747,"Rs.",""),"INR",""),"₹",""),"â‚¹",""),"$","")," ",""),"")),
   IFERROR(--SUBSTITUTE(SUBSTITUTE(SUBSTITUTE(SUBSTITUTE(SUBSTITUTE(SUBSTITUTE(TRIM(G128),"Rs.",""),"INR",""),"₹",""),"â‚¹",""),"$","")," ",""),"")
)</f>
        <v>225</v>
      </c>
      <c r="I128" s="1">
        <f t="shared" si="4"/>
        <v>225</v>
      </c>
      <c r="J128" s="1" t="str">
        <f t="shared" si="5"/>
        <v>Nill</v>
      </c>
      <c r="K128" s="1" t="s">
        <v>12</v>
      </c>
      <c r="L128" s="1" t="s">
        <v>167</v>
      </c>
      <c r="M128" s="1" t="s">
        <v>1253</v>
      </c>
      <c r="N128"/>
    </row>
    <row r="129" spans="1:14" x14ac:dyDescent="0.25">
      <c r="A129" s="1" t="s">
        <v>437</v>
      </c>
      <c r="B129" s="1" t="s">
        <v>438</v>
      </c>
      <c r="C129" s="5">
        <v>44540</v>
      </c>
      <c r="D129" s="6">
        <f t="shared" si="3"/>
        <v>44540</v>
      </c>
      <c r="E129" s="1" t="s">
        <v>11</v>
      </c>
      <c r="F129" s="1" t="s">
        <v>69</v>
      </c>
      <c r="G129" s="1">
        <v>2683</v>
      </c>
      <c r="H129" s="1" cm="1">
        <f t="array" ref="H129">IF(TRIM(G129)="",
   MEDIAN(IFERROR(--SUBSTITUTE(SUBSTITUTE(SUBSTITUTE(SUBSTITUTE(SUBSTITUTE(SUBSTITUTE(G$2:G$747,"Rs.",""),"INR",""),"₹",""),"â‚¹",""),"$","")," ",""),"")),
   IFERROR(--SUBSTITUTE(SUBSTITUTE(SUBSTITUTE(SUBSTITUTE(SUBSTITUTE(SUBSTITUTE(TRIM(G129),"Rs.",""),"INR",""),"₹",""),"â‚¹",""),"$","")," ",""),"")
)</f>
        <v>2683</v>
      </c>
      <c r="I129" s="1">
        <f t="shared" si="4"/>
        <v>2683</v>
      </c>
      <c r="J129" s="1" t="str">
        <f t="shared" si="5"/>
        <v>Nill</v>
      </c>
      <c r="K129" s="1" t="s">
        <v>138</v>
      </c>
      <c r="L129" s="1" t="s">
        <v>127</v>
      </c>
      <c r="M129" s="1" t="s">
        <v>1253</v>
      </c>
      <c r="N129"/>
    </row>
    <row r="130" spans="1:14" x14ac:dyDescent="0.25">
      <c r="A130" s="1" t="s">
        <v>437</v>
      </c>
      <c r="B130" s="1" t="s">
        <v>51</v>
      </c>
      <c r="C130" s="5">
        <v>44505</v>
      </c>
      <c r="D130" s="6">
        <f t="shared" ref="D130:D193" si="6">IF(ISBLANK(C130),("unknown"),IF(ISNUMBER(C130),C130,DATE(RIGHT(C130,4),LEFT(C130,2),MID(C130,4,2))))</f>
        <v>44505</v>
      </c>
      <c r="E130" s="1" t="s">
        <v>11</v>
      </c>
      <c r="F130" s="1" t="s">
        <v>69</v>
      </c>
      <c r="G130" s="1">
        <v>4941</v>
      </c>
      <c r="H130" s="1" cm="1">
        <f t="array" ref="H130">IF(TRIM(G130)="",
   MEDIAN(IFERROR(--SUBSTITUTE(SUBSTITUTE(SUBSTITUTE(SUBSTITUTE(SUBSTITUTE(SUBSTITUTE(G$2:G$747,"Rs.",""),"INR",""),"₹",""),"â‚¹",""),"$","")," ",""),"")),
   IFERROR(--SUBSTITUTE(SUBSTITUTE(SUBSTITUTE(SUBSTITUTE(SUBSTITUTE(SUBSTITUTE(TRIM(G130),"Rs.",""),"INR",""),"₹",""),"â‚¹",""),"$","")," ",""),"")
)</f>
        <v>4941</v>
      </c>
      <c r="I130" s="1">
        <f t="shared" ref="I130:I193" si="7">IF(E130="Expense",H130,"Nill")</f>
        <v>4941</v>
      </c>
      <c r="J130" s="1" t="str">
        <f t="shared" ref="J130:J193" si="8">IF(E130="Income",H130,"Nill")</f>
        <v>Nill</v>
      </c>
      <c r="K130" s="1" t="s">
        <v>75</v>
      </c>
      <c r="L130" s="1" t="s">
        <v>198</v>
      </c>
      <c r="M130" s="1" t="s">
        <v>179</v>
      </c>
      <c r="N130"/>
    </row>
    <row r="131" spans="1:14" x14ac:dyDescent="0.25">
      <c r="A131" s="1" t="s">
        <v>1166</v>
      </c>
      <c r="B131" s="1" t="s">
        <v>608</v>
      </c>
      <c r="C131" s="5">
        <v>45395</v>
      </c>
      <c r="D131" s="6">
        <f t="shared" si="6"/>
        <v>45395</v>
      </c>
      <c r="E131" s="1" t="s">
        <v>11</v>
      </c>
      <c r="F131" s="1" t="s">
        <v>69</v>
      </c>
      <c r="G131" s="1">
        <v>861</v>
      </c>
      <c r="H131" s="1" cm="1">
        <f t="array" ref="H131">IF(TRIM(G131)="",
   MEDIAN(IFERROR(--SUBSTITUTE(SUBSTITUTE(SUBSTITUTE(SUBSTITUTE(SUBSTITUTE(SUBSTITUTE(G$2:G$747,"Rs.",""),"INR",""),"₹",""),"â‚¹",""),"$","")," ",""),"")),
   IFERROR(--SUBSTITUTE(SUBSTITUTE(SUBSTITUTE(SUBSTITUTE(SUBSTITUTE(SUBSTITUTE(TRIM(G131),"Rs.",""),"INR",""),"₹",""),"â‚¹",""),"$","")," ",""),"")
)</f>
        <v>861</v>
      </c>
      <c r="I131" s="1">
        <f t="shared" si="7"/>
        <v>861</v>
      </c>
      <c r="J131" s="1" t="str">
        <f t="shared" si="8"/>
        <v>Nill</v>
      </c>
      <c r="K131" s="1" t="s">
        <v>87</v>
      </c>
      <c r="L131" s="1" t="s">
        <v>17</v>
      </c>
      <c r="M131" s="1" t="s">
        <v>117</v>
      </c>
      <c r="N131"/>
    </row>
    <row r="132" spans="1:14" x14ac:dyDescent="0.25">
      <c r="A132" s="1" t="s">
        <v>542</v>
      </c>
      <c r="B132" s="1" t="s">
        <v>145</v>
      </c>
      <c r="C132" s="1" t="s">
        <v>543</v>
      </c>
      <c r="D132" s="6">
        <f t="shared" si="6"/>
        <v>44650</v>
      </c>
      <c r="E132" s="1" t="s">
        <v>11</v>
      </c>
      <c r="F132" s="1" t="s">
        <v>759</v>
      </c>
      <c r="G132" s="1">
        <v>8161</v>
      </c>
      <c r="H132" s="1" cm="1">
        <f t="array" ref="H132">IF(TRIM(G132)="",
   MEDIAN(IFERROR(--SUBSTITUTE(SUBSTITUTE(SUBSTITUTE(SUBSTITUTE(SUBSTITUTE(SUBSTITUTE(G$2:G$747,"Rs.",""),"INR",""),"₹",""),"â‚¹",""),"$","")," ",""),"")),
   IFERROR(--SUBSTITUTE(SUBSTITUTE(SUBSTITUTE(SUBSTITUTE(SUBSTITUTE(SUBSTITUTE(TRIM(G132),"Rs.",""),"INR",""),"₹",""),"â‚¹",""),"$","")," ",""),"")
)</f>
        <v>8161</v>
      </c>
      <c r="I132" s="1">
        <f t="shared" si="7"/>
        <v>8161</v>
      </c>
      <c r="J132" s="1" t="str">
        <f t="shared" si="8"/>
        <v>Nill</v>
      </c>
      <c r="K132" s="1" t="s">
        <v>31</v>
      </c>
      <c r="L132" s="1" t="s">
        <v>81</v>
      </c>
      <c r="M132" s="1" t="s">
        <v>70</v>
      </c>
      <c r="N132"/>
    </row>
    <row r="133" spans="1:14" x14ac:dyDescent="0.25">
      <c r="A133" s="1" t="s">
        <v>1167</v>
      </c>
      <c r="B133" s="1" t="s">
        <v>197</v>
      </c>
      <c r="C133" s="5">
        <v>45299</v>
      </c>
      <c r="D133" s="6">
        <f t="shared" si="6"/>
        <v>45299</v>
      </c>
      <c r="E133" s="1" t="s">
        <v>20</v>
      </c>
      <c r="F133" s="1" t="s">
        <v>52</v>
      </c>
      <c r="G133" s="1">
        <v>34452</v>
      </c>
      <c r="H133" s="1" cm="1">
        <f t="array" ref="H133">IF(TRIM(G133)="",
   MEDIAN(IFERROR(--SUBSTITUTE(SUBSTITUTE(SUBSTITUTE(SUBSTITUTE(SUBSTITUTE(SUBSTITUTE(G$2:G$747,"Rs.",""),"INR",""),"₹",""),"â‚¹",""),"$","")," ",""),"")),
   IFERROR(--SUBSTITUTE(SUBSTITUTE(SUBSTITUTE(SUBSTITUTE(SUBSTITUTE(SUBSTITUTE(TRIM(G133),"Rs.",""),"INR",""),"₹",""),"â‚¹",""),"$","")," ",""),"")
)</f>
        <v>34452</v>
      </c>
      <c r="I133" s="1" t="str">
        <f t="shared" si="7"/>
        <v>Nill</v>
      </c>
      <c r="J133" s="1">
        <f t="shared" si="8"/>
        <v>34452</v>
      </c>
      <c r="K133" s="1" t="s">
        <v>12</v>
      </c>
      <c r="L133" s="1" t="s">
        <v>167</v>
      </c>
      <c r="M133" s="1" t="s">
        <v>122</v>
      </c>
      <c r="N133"/>
    </row>
    <row r="134" spans="1:14" x14ac:dyDescent="0.25">
      <c r="A134" s="1" t="s">
        <v>795</v>
      </c>
      <c r="B134" s="1" t="s">
        <v>455</v>
      </c>
      <c r="C134" s="5">
        <v>45524</v>
      </c>
      <c r="D134" s="6">
        <f t="shared" si="6"/>
        <v>45524</v>
      </c>
      <c r="E134" s="1" t="s">
        <v>11</v>
      </c>
      <c r="F134" s="1" t="s">
        <v>69</v>
      </c>
      <c r="G134" s="1">
        <v>2060</v>
      </c>
      <c r="H134" s="1" cm="1">
        <f t="array" ref="H134">IF(TRIM(G134)="",
   MEDIAN(IFERROR(--SUBSTITUTE(SUBSTITUTE(SUBSTITUTE(SUBSTITUTE(SUBSTITUTE(SUBSTITUTE(G$2:G$747,"Rs.",""),"INR",""),"₹",""),"â‚¹",""),"$","")," ",""),"")),
   IFERROR(--SUBSTITUTE(SUBSTITUTE(SUBSTITUTE(SUBSTITUTE(SUBSTITUTE(SUBSTITUTE(TRIM(G134),"Rs.",""),"INR",""),"₹",""),"â‚¹",""),"$","")," ",""),"")
)</f>
        <v>2060</v>
      </c>
      <c r="I134" s="1">
        <f t="shared" si="7"/>
        <v>2060</v>
      </c>
      <c r="J134" s="1" t="str">
        <f t="shared" si="8"/>
        <v>Nill</v>
      </c>
      <c r="K134" s="1" t="s">
        <v>53</v>
      </c>
      <c r="L134" s="1" t="s">
        <v>17</v>
      </c>
      <c r="M134" s="1" t="s">
        <v>252</v>
      </c>
      <c r="N134"/>
    </row>
    <row r="135" spans="1:14" x14ac:dyDescent="0.25">
      <c r="A135" s="1" t="s">
        <v>66</v>
      </c>
      <c r="B135" s="1" t="s">
        <v>67</v>
      </c>
      <c r="C135" s="1" t="s">
        <v>68</v>
      </c>
      <c r="D135" s="6">
        <f t="shared" si="6"/>
        <v>45166</v>
      </c>
      <c r="E135" s="1" t="s">
        <v>11</v>
      </c>
      <c r="F135" s="1" t="s">
        <v>69</v>
      </c>
      <c r="G135" s="1">
        <v>898</v>
      </c>
      <c r="H135" s="1" cm="1">
        <f t="array" ref="H135">IF(TRIM(G135)="",
   MEDIAN(IFERROR(--SUBSTITUTE(SUBSTITUTE(SUBSTITUTE(SUBSTITUTE(SUBSTITUTE(SUBSTITUTE(G$2:G$747,"Rs.",""),"INR",""),"₹",""),"â‚¹",""),"$","")," ",""),"")),
   IFERROR(--SUBSTITUTE(SUBSTITUTE(SUBSTITUTE(SUBSTITUTE(SUBSTITUTE(SUBSTITUTE(TRIM(G135),"Rs.",""),"INR",""),"₹",""),"â‚¹",""),"$","")," ",""),"")
)</f>
        <v>898</v>
      </c>
      <c r="I135" s="1">
        <f t="shared" si="7"/>
        <v>898</v>
      </c>
      <c r="J135" s="1" t="str">
        <f t="shared" si="8"/>
        <v>Nill</v>
      </c>
      <c r="K135" s="1" t="s">
        <v>53</v>
      </c>
      <c r="L135" s="1" t="s">
        <v>40</v>
      </c>
      <c r="M135" s="1" t="s">
        <v>70</v>
      </c>
      <c r="N135"/>
    </row>
    <row r="136" spans="1:14" x14ac:dyDescent="0.25">
      <c r="A136" s="1" t="s">
        <v>246</v>
      </c>
      <c r="B136" s="1" t="s">
        <v>169</v>
      </c>
      <c r="C136" s="5">
        <v>44827</v>
      </c>
      <c r="D136" s="6">
        <f t="shared" si="6"/>
        <v>44827</v>
      </c>
      <c r="E136" s="1" t="s">
        <v>11</v>
      </c>
      <c r="F136" s="1" t="s">
        <v>85</v>
      </c>
      <c r="G136" s="1">
        <v>8283</v>
      </c>
      <c r="H136" s="1" cm="1">
        <f t="array" ref="H136">IF(TRIM(G136)="",
   MEDIAN(IFERROR(--SUBSTITUTE(SUBSTITUTE(SUBSTITUTE(SUBSTITUTE(SUBSTITUTE(SUBSTITUTE(G$2:G$747,"Rs.",""),"INR",""),"₹",""),"â‚¹",""),"$","")," ",""),"")),
   IFERROR(--SUBSTITUTE(SUBSTITUTE(SUBSTITUTE(SUBSTITUTE(SUBSTITUTE(SUBSTITUTE(TRIM(G136),"Rs.",""),"INR",""),"₹",""),"â‚¹",""),"$","")," ",""),"")
)</f>
        <v>8283</v>
      </c>
      <c r="I136" s="1">
        <f t="shared" si="7"/>
        <v>8283</v>
      </c>
      <c r="J136" s="1" t="str">
        <f t="shared" si="8"/>
        <v>Nill</v>
      </c>
      <c r="K136" s="1" t="s">
        <v>12</v>
      </c>
      <c r="L136" s="1" t="s">
        <v>13</v>
      </c>
      <c r="M136" s="1" t="s">
        <v>1253</v>
      </c>
      <c r="N136"/>
    </row>
    <row r="137" spans="1:14" x14ac:dyDescent="0.25">
      <c r="A137" s="1" t="s">
        <v>715</v>
      </c>
      <c r="B137" s="1" t="s">
        <v>573</v>
      </c>
      <c r="C137" s="5">
        <v>45585</v>
      </c>
      <c r="D137" s="6">
        <f t="shared" si="6"/>
        <v>45585</v>
      </c>
      <c r="E137" s="1" t="s">
        <v>20</v>
      </c>
      <c r="F137" s="1" t="s">
        <v>239</v>
      </c>
      <c r="G137" s="1">
        <v>73654</v>
      </c>
      <c r="H137" s="1" cm="1">
        <f t="array" ref="H137">IF(TRIM(G137)="",
   MEDIAN(IFERROR(--SUBSTITUTE(SUBSTITUTE(SUBSTITUTE(SUBSTITUTE(SUBSTITUTE(SUBSTITUTE(G$2:G$747,"Rs.",""),"INR",""),"₹",""),"â‚¹",""),"$","")," ",""),"")),
   IFERROR(--SUBSTITUTE(SUBSTITUTE(SUBSTITUTE(SUBSTITUTE(SUBSTITUTE(SUBSTITUTE(TRIM(G137),"Rs.",""),"INR",""),"₹",""),"â‚¹",""),"$","")," ",""),"")
)</f>
        <v>73654</v>
      </c>
      <c r="I137" s="1" t="str">
        <f t="shared" si="7"/>
        <v>Nill</v>
      </c>
      <c r="J137" s="1">
        <f t="shared" si="8"/>
        <v>73654</v>
      </c>
      <c r="K137" s="1" t="s">
        <v>12</v>
      </c>
      <c r="L137" s="1" t="s">
        <v>198</v>
      </c>
      <c r="M137" s="1" t="s">
        <v>1253</v>
      </c>
      <c r="N137"/>
    </row>
    <row r="138" spans="1:14" x14ac:dyDescent="0.25">
      <c r="A138" s="1" t="s">
        <v>862</v>
      </c>
      <c r="B138" s="1" t="s">
        <v>145</v>
      </c>
      <c r="C138" s="1" t="s">
        <v>863</v>
      </c>
      <c r="D138" s="6">
        <f t="shared" si="6"/>
        <v>44710</v>
      </c>
      <c r="E138" s="1" t="s">
        <v>11</v>
      </c>
      <c r="F138" s="1" t="s">
        <v>379</v>
      </c>
      <c r="G138" s="1">
        <v>4955</v>
      </c>
      <c r="H138" s="1" cm="1">
        <f t="array" ref="H138">IF(TRIM(G138)="",
   MEDIAN(IFERROR(--SUBSTITUTE(SUBSTITUTE(SUBSTITUTE(SUBSTITUTE(SUBSTITUTE(SUBSTITUTE(G$2:G$747,"Rs.",""),"INR",""),"₹",""),"â‚¹",""),"$","")," ",""),"")),
   IFERROR(--SUBSTITUTE(SUBSTITUTE(SUBSTITUTE(SUBSTITUTE(SUBSTITUTE(SUBSTITUTE(TRIM(G138),"Rs.",""),"INR",""),"₹",""),"â‚¹",""),"$","")," ",""),"")
)</f>
        <v>4955</v>
      </c>
      <c r="I138" s="1">
        <f t="shared" si="7"/>
        <v>4955</v>
      </c>
      <c r="J138" s="1" t="str">
        <f t="shared" si="8"/>
        <v>Nill</v>
      </c>
      <c r="K138" s="1" t="s">
        <v>31</v>
      </c>
      <c r="L138" s="1" t="s">
        <v>299</v>
      </c>
      <c r="M138" s="1" t="s">
        <v>14</v>
      </c>
      <c r="N138"/>
    </row>
    <row r="139" spans="1:14" x14ac:dyDescent="0.25">
      <c r="A139" s="1" t="s">
        <v>730</v>
      </c>
      <c r="B139" s="1" t="s">
        <v>142</v>
      </c>
      <c r="D139" s="6" t="str">
        <f t="shared" si="6"/>
        <v>unknown</v>
      </c>
      <c r="E139" s="1" t="s">
        <v>11</v>
      </c>
      <c r="F139" s="1" t="s">
        <v>85</v>
      </c>
      <c r="G139" s="1">
        <v>1583</v>
      </c>
      <c r="H139" s="1" cm="1">
        <f t="array" ref="H139">IF(TRIM(G139)="",
   MEDIAN(IFERROR(--SUBSTITUTE(SUBSTITUTE(SUBSTITUTE(SUBSTITUTE(SUBSTITUTE(SUBSTITUTE(G$2:G$747,"Rs.",""),"INR",""),"₹",""),"â‚¹",""),"$","")," ",""),"")),
   IFERROR(--SUBSTITUTE(SUBSTITUTE(SUBSTITUTE(SUBSTITUTE(SUBSTITUTE(SUBSTITUTE(TRIM(G139),"Rs.",""),"INR",""),"₹",""),"â‚¹",""),"$","")," ",""),"")
)</f>
        <v>1583</v>
      </c>
      <c r="I139" s="1">
        <f t="shared" si="7"/>
        <v>1583</v>
      </c>
      <c r="J139" s="1" t="str">
        <f t="shared" si="8"/>
        <v>Nill</v>
      </c>
      <c r="K139" s="1" t="s">
        <v>12</v>
      </c>
      <c r="L139" s="1" t="s">
        <v>13</v>
      </c>
      <c r="M139" s="1" t="s">
        <v>133</v>
      </c>
      <c r="N139"/>
    </row>
    <row r="140" spans="1:14" x14ac:dyDescent="0.25">
      <c r="A140" s="1" t="s">
        <v>768</v>
      </c>
      <c r="B140" s="1" t="s">
        <v>628</v>
      </c>
      <c r="C140" s="5">
        <v>44664</v>
      </c>
      <c r="D140" s="6">
        <f t="shared" si="6"/>
        <v>44664</v>
      </c>
      <c r="E140" s="1" t="s">
        <v>20</v>
      </c>
      <c r="F140" s="1" t="s">
        <v>44</v>
      </c>
      <c r="G140" s="1" t="s">
        <v>769</v>
      </c>
      <c r="H140" s="1" cm="1">
        <f t="array" ref="H140">IF(TRIM(G140)="",
   MEDIAN(IFERROR(--SUBSTITUTE(SUBSTITUTE(SUBSTITUTE(SUBSTITUTE(SUBSTITUTE(SUBSTITUTE(G$2:G$747,"Rs.",""),"INR",""),"₹",""),"â‚¹",""),"$","")," ",""),"")),
   IFERROR(--SUBSTITUTE(SUBSTITUTE(SUBSTITUTE(SUBSTITUTE(SUBSTITUTE(SUBSTITUTE(TRIM(G140),"Rs.",""),"INR",""),"₹",""),"â‚¹",""),"$","")," ",""),"")
)</f>
        <v>56581</v>
      </c>
      <c r="I140" s="1" t="str">
        <f t="shared" si="7"/>
        <v>Nill</v>
      </c>
      <c r="J140" s="1">
        <f t="shared" si="8"/>
        <v>56581</v>
      </c>
      <c r="K140" s="1" t="s">
        <v>25</v>
      </c>
      <c r="L140" s="1" t="s">
        <v>198</v>
      </c>
      <c r="M140" s="1" t="s">
        <v>35</v>
      </c>
      <c r="N140"/>
    </row>
    <row r="141" spans="1:14" x14ac:dyDescent="0.25">
      <c r="A141" s="1" t="s">
        <v>1052</v>
      </c>
      <c r="B141" s="1" t="s">
        <v>130</v>
      </c>
      <c r="C141" s="5">
        <v>45020</v>
      </c>
      <c r="D141" s="6">
        <f t="shared" si="6"/>
        <v>45020</v>
      </c>
      <c r="E141" s="1" t="s">
        <v>11</v>
      </c>
      <c r="F141" s="1" t="s">
        <v>249</v>
      </c>
      <c r="G141" s="1">
        <v>4949</v>
      </c>
      <c r="H141" s="1" cm="1">
        <f t="array" ref="H141">IF(TRIM(G141)="",
   MEDIAN(IFERROR(--SUBSTITUTE(SUBSTITUTE(SUBSTITUTE(SUBSTITUTE(SUBSTITUTE(SUBSTITUTE(G$2:G$747,"Rs.",""),"INR",""),"₹",""),"â‚¹",""),"$","")," ",""),"")),
   IFERROR(--SUBSTITUTE(SUBSTITUTE(SUBSTITUTE(SUBSTITUTE(SUBSTITUTE(SUBSTITUTE(TRIM(G141),"Rs.",""),"INR",""),"₹",""),"â‚¹",""),"$","")," ",""),"")
)</f>
        <v>4949</v>
      </c>
      <c r="I141" s="1">
        <f t="shared" si="7"/>
        <v>4949</v>
      </c>
      <c r="J141" s="1" t="str">
        <f t="shared" si="8"/>
        <v>Nill</v>
      </c>
      <c r="K141" s="1" t="s">
        <v>138</v>
      </c>
      <c r="L141" s="1" t="s">
        <v>97</v>
      </c>
      <c r="M141" s="1" t="s">
        <v>1253</v>
      </c>
      <c r="N141"/>
    </row>
    <row r="142" spans="1:14" x14ac:dyDescent="0.25">
      <c r="A142" s="1" t="s">
        <v>809</v>
      </c>
      <c r="B142" s="1" t="s">
        <v>126</v>
      </c>
      <c r="C142" s="5">
        <v>45325</v>
      </c>
      <c r="D142" s="6">
        <f t="shared" si="6"/>
        <v>45325</v>
      </c>
      <c r="E142" s="1" t="s">
        <v>11</v>
      </c>
      <c r="F142" s="1" t="s">
        <v>249</v>
      </c>
      <c r="G142" s="1" t="s">
        <v>810</v>
      </c>
      <c r="H142" s="1" cm="1">
        <f t="array" ref="H142">IF(TRIM(G142)="",
   MEDIAN(IFERROR(--SUBSTITUTE(SUBSTITUTE(SUBSTITUTE(SUBSTITUTE(SUBSTITUTE(SUBSTITUTE(G$2:G$747,"Rs.",""),"INR",""),"₹",""),"â‚¹",""),"$","")," ",""),"")),
   IFERROR(--SUBSTITUTE(SUBSTITUTE(SUBSTITUTE(SUBSTITUTE(SUBSTITUTE(SUBSTITUTE(TRIM(G142),"Rs.",""),"INR",""),"₹",""),"â‚¹",""),"$","")," ",""),"")
)</f>
        <v>1686</v>
      </c>
      <c r="I142" s="1">
        <f t="shared" si="7"/>
        <v>1686</v>
      </c>
      <c r="J142" s="1" t="str">
        <f t="shared" si="8"/>
        <v>Nill</v>
      </c>
      <c r="K142" s="1" t="s">
        <v>1253</v>
      </c>
      <c r="L142" s="1" t="s">
        <v>299</v>
      </c>
      <c r="M142" s="1" t="s">
        <v>1253</v>
      </c>
      <c r="N142"/>
    </row>
    <row r="143" spans="1:14" x14ac:dyDescent="0.25">
      <c r="A143" s="1" t="s">
        <v>756</v>
      </c>
      <c r="B143" s="1" t="s">
        <v>226</v>
      </c>
      <c r="C143" s="5">
        <v>45556</v>
      </c>
      <c r="D143" s="6">
        <f t="shared" si="6"/>
        <v>45556</v>
      </c>
      <c r="E143" s="1" t="s">
        <v>11</v>
      </c>
      <c r="F143" s="1" t="s">
        <v>69</v>
      </c>
      <c r="G143" s="1">
        <v>2044</v>
      </c>
      <c r="H143" s="1" cm="1">
        <f t="array" ref="H143">IF(TRIM(G143)="",
   MEDIAN(IFERROR(--SUBSTITUTE(SUBSTITUTE(SUBSTITUTE(SUBSTITUTE(SUBSTITUTE(SUBSTITUTE(G$2:G$747,"Rs.",""),"INR",""),"₹",""),"â‚¹",""),"$","")," ",""),"")),
   IFERROR(--SUBSTITUTE(SUBSTITUTE(SUBSTITUTE(SUBSTITUTE(SUBSTITUTE(SUBSTITUTE(TRIM(G143),"Rs.",""),"INR",""),"₹",""),"â‚¹",""),"$","")," ",""),"")
)</f>
        <v>2044</v>
      </c>
      <c r="I143" s="1">
        <f t="shared" si="7"/>
        <v>2044</v>
      </c>
      <c r="J143" s="1" t="str">
        <f t="shared" si="8"/>
        <v>Nill</v>
      </c>
      <c r="K143" s="1" t="s">
        <v>25</v>
      </c>
      <c r="L143" s="1" t="s">
        <v>167</v>
      </c>
      <c r="M143" s="1" t="s">
        <v>128</v>
      </c>
      <c r="N143"/>
    </row>
    <row r="144" spans="1:14" x14ac:dyDescent="0.25">
      <c r="A144" s="1" t="s">
        <v>718</v>
      </c>
      <c r="B144" s="1" t="s">
        <v>522</v>
      </c>
      <c r="C144" s="5">
        <v>45533</v>
      </c>
      <c r="D144" s="6">
        <f t="shared" si="6"/>
        <v>45533</v>
      </c>
      <c r="E144" s="1" t="s">
        <v>11</v>
      </c>
      <c r="F144" s="1" t="s">
        <v>465</v>
      </c>
      <c r="H144" s="1" cm="1">
        <f t="array" ref="H144">IF(TRIM(G144)="",
   MEDIAN(IFERROR(--SUBSTITUTE(SUBSTITUTE(SUBSTITUTE(SUBSTITUTE(SUBSTITUTE(SUBSTITUTE(G$2:G$747,"Rs.",""),"INR",""),"₹",""),"â‚¹",""),"$","")," ",""),"")),
   IFERROR(--SUBSTITUTE(SUBSTITUTE(SUBSTITUTE(SUBSTITUTE(SUBSTITUTE(SUBSTITUTE(TRIM(G144),"Rs.",""),"INR",""),"₹",""),"â‚¹",""),"$","")," ",""),"")
)</f>
        <v>5935</v>
      </c>
      <c r="I144" s="1">
        <f t="shared" si="7"/>
        <v>5935</v>
      </c>
      <c r="J144" s="1" t="str">
        <f t="shared" si="8"/>
        <v>Nill</v>
      </c>
      <c r="K144" s="1" t="s">
        <v>110</v>
      </c>
      <c r="L144" s="1" t="s">
        <v>127</v>
      </c>
      <c r="M144" s="1" t="s">
        <v>252</v>
      </c>
      <c r="N144"/>
    </row>
    <row r="145" spans="1:14" x14ac:dyDescent="0.25">
      <c r="A145" s="1" t="s">
        <v>1041</v>
      </c>
      <c r="B145" s="1" t="s">
        <v>310</v>
      </c>
      <c r="C145" s="5">
        <v>44743</v>
      </c>
      <c r="D145" s="6">
        <f t="shared" si="6"/>
        <v>44743</v>
      </c>
      <c r="E145" s="1" t="s">
        <v>11</v>
      </c>
      <c r="F145" s="1" t="s">
        <v>85</v>
      </c>
      <c r="G145" s="1">
        <v>5855</v>
      </c>
      <c r="H145" s="1" cm="1">
        <f t="array" ref="H145">IF(TRIM(G145)="",
   MEDIAN(IFERROR(--SUBSTITUTE(SUBSTITUTE(SUBSTITUTE(SUBSTITUTE(SUBSTITUTE(SUBSTITUTE(G$2:G$747,"Rs.",""),"INR",""),"₹",""),"â‚¹",""),"$","")," ",""),"")),
   IFERROR(--SUBSTITUTE(SUBSTITUTE(SUBSTITUTE(SUBSTITUTE(SUBSTITUTE(SUBSTITUTE(TRIM(G145),"Rs.",""),"INR",""),"₹",""),"â‚¹",""),"$","")," ",""),"")
)</f>
        <v>5855</v>
      </c>
      <c r="I145" s="1">
        <f t="shared" si="7"/>
        <v>5855</v>
      </c>
      <c r="J145" s="1" t="str">
        <f t="shared" si="8"/>
        <v>Nill</v>
      </c>
      <c r="K145" s="1" t="s">
        <v>138</v>
      </c>
      <c r="L145" s="1" t="s">
        <v>217</v>
      </c>
      <c r="M145" s="1" t="s">
        <v>88</v>
      </c>
      <c r="N145"/>
    </row>
    <row r="146" spans="1:14" x14ac:dyDescent="0.25">
      <c r="A146" s="1" t="s">
        <v>609</v>
      </c>
      <c r="B146" s="1" t="s">
        <v>410</v>
      </c>
      <c r="C146" s="1" t="s">
        <v>610</v>
      </c>
      <c r="D146" s="6">
        <f t="shared" si="6"/>
        <v>44560</v>
      </c>
      <c r="E146" s="1" t="s">
        <v>20</v>
      </c>
      <c r="F146" s="1" t="s">
        <v>52</v>
      </c>
      <c r="G146" s="1">
        <v>57828</v>
      </c>
      <c r="H146" s="1" cm="1">
        <f t="array" ref="H146">IF(TRIM(G146)="",
   MEDIAN(IFERROR(--SUBSTITUTE(SUBSTITUTE(SUBSTITUTE(SUBSTITUTE(SUBSTITUTE(SUBSTITUTE(G$2:G$747,"Rs.",""),"INR",""),"₹",""),"â‚¹",""),"$","")," ",""),"")),
   IFERROR(--SUBSTITUTE(SUBSTITUTE(SUBSTITUTE(SUBSTITUTE(SUBSTITUTE(SUBSTITUTE(TRIM(G146),"Rs.",""),"INR",""),"₹",""),"â‚¹",""),"$","")," ",""),"")
)</f>
        <v>57828</v>
      </c>
      <c r="I146" s="1" t="str">
        <f t="shared" si="7"/>
        <v>Nill</v>
      </c>
      <c r="J146" s="1">
        <f t="shared" si="8"/>
        <v>57828</v>
      </c>
      <c r="K146" s="1" t="s">
        <v>53</v>
      </c>
      <c r="L146" s="1" t="s">
        <v>13</v>
      </c>
      <c r="M146" s="1" t="s">
        <v>117</v>
      </c>
      <c r="N146"/>
    </row>
    <row r="147" spans="1:14" x14ac:dyDescent="0.25">
      <c r="A147" s="1" t="s">
        <v>667</v>
      </c>
      <c r="B147" s="1" t="s">
        <v>115</v>
      </c>
      <c r="C147" s="5">
        <v>45555</v>
      </c>
      <c r="D147" s="6">
        <f t="shared" si="6"/>
        <v>45555</v>
      </c>
      <c r="E147" s="1" t="s">
        <v>11</v>
      </c>
      <c r="F147" s="1" t="s">
        <v>465</v>
      </c>
      <c r="G147" s="1">
        <v>8548</v>
      </c>
      <c r="H147" s="1" cm="1">
        <f t="array" ref="H147">IF(TRIM(G147)="",
   MEDIAN(IFERROR(--SUBSTITUTE(SUBSTITUTE(SUBSTITUTE(SUBSTITUTE(SUBSTITUTE(SUBSTITUTE(G$2:G$747,"Rs.",""),"INR",""),"₹",""),"â‚¹",""),"$","")," ",""),"")),
   IFERROR(--SUBSTITUTE(SUBSTITUTE(SUBSTITUTE(SUBSTITUTE(SUBSTITUTE(SUBSTITUTE(TRIM(G147),"Rs.",""),"INR",""),"₹",""),"â‚¹",""),"$","")," ",""),"")
)</f>
        <v>8548</v>
      </c>
      <c r="I147" s="1">
        <f t="shared" si="7"/>
        <v>8548</v>
      </c>
      <c r="J147" s="1" t="str">
        <f t="shared" si="8"/>
        <v>Nill</v>
      </c>
      <c r="K147" s="1" t="s">
        <v>1253</v>
      </c>
      <c r="L147" s="1" t="s">
        <v>81</v>
      </c>
      <c r="M147" s="1" t="s">
        <v>76</v>
      </c>
      <c r="N147"/>
    </row>
    <row r="148" spans="1:14" x14ac:dyDescent="0.25">
      <c r="A148" s="1" t="s">
        <v>425</v>
      </c>
      <c r="B148" s="1" t="s">
        <v>279</v>
      </c>
      <c r="C148" s="5">
        <v>44899</v>
      </c>
      <c r="D148" s="6">
        <f t="shared" si="6"/>
        <v>44899</v>
      </c>
      <c r="E148" s="1" t="s">
        <v>11</v>
      </c>
      <c r="F148" s="1" t="s">
        <v>158</v>
      </c>
      <c r="G148" s="1" t="s">
        <v>426</v>
      </c>
      <c r="H148" s="1" cm="1">
        <f t="array" ref="H148">IF(TRIM(G148)="",
   MEDIAN(IFERROR(--SUBSTITUTE(SUBSTITUTE(SUBSTITUTE(SUBSTITUTE(SUBSTITUTE(SUBSTITUTE(G$2:G$747,"Rs.",""),"INR",""),"₹",""),"â‚¹",""),"$","")," ",""),"")),
   IFERROR(--SUBSTITUTE(SUBSTITUTE(SUBSTITUTE(SUBSTITUTE(SUBSTITUTE(SUBSTITUTE(TRIM(G148),"Rs.",""),"INR",""),"₹",""),"â‚¹",""),"$","")," ",""),"")
)</f>
        <v>7315</v>
      </c>
      <c r="I148" s="1">
        <f t="shared" si="7"/>
        <v>7315</v>
      </c>
      <c r="J148" s="1" t="str">
        <f t="shared" si="8"/>
        <v>Nill</v>
      </c>
      <c r="K148" s="1" t="s">
        <v>25</v>
      </c>
      <c r="L148" s="1" t="s">
        <v>97</v>
      </c>
      <c r="M148" s="1" t="s">
        <v>1253</v>
      </c>
      <c r="N148"/>
    </row>
    <row r="149" spans="1:14" x14ac:dyDescent="0.25">
      <c r="A149" s="1" t="s">
        <v>1075</v>
      </c>
      <c r="B149" s="1" t="s">
        <v>412</v>
      </c>
      <c r="C149" s="5">
        <v>44954</v>
      </c>
      <c r="D149" s="6">
        <f t="shared" si="6"/>
        <v>44954</v>
      </c>
      <c r="E149" s="1" t="s">
        <v>11</v>
      </c>
      <c r="F149" s="1" t="s">
        <v>69</v>
      </c>
      <c r="G149" s="1">
        <v>9399</v>
      </c>
      <c r="H149" s="1" cm="1">
        <f t="array" ref="H149">IF(TRIM(G149)="",
   MEDIAN(IFERROR(--SUBSTITUTE(SUBSTITUTE(SUBSTITUTE(SUBSTITUTE(SUBSTITUTE(SUBSTITUTE(G$2:G$747,"Rs.",""),"INR",""),"₹",""),"â‚¹",""),"$","")," ",""),"")),
   IFERROR(--SUBSTITUTE(SUBSTITUTE(SUBSTITUTE(SUBSTITUTE(SUBSTITUTE(SUBSTITUTE(TRIM(G149),"Rs.",""),"INR",""),"₹",""),"â‚¹",""),"$","")," ",""),"")
)</f>
        <v>9399</v>
      </c>
      <c r="I149" s="1">
        <f t="shared" si="7"/>
        <v>9399</v>
      </c>
      <c r="J149" s="1" t="str">
        <f t="shared" si="8"/>
        <v>Nill</v>
      </c>
      <c r="K149" s="1" t="s">
        <v>110</v>
      </c>
      <c r="L149" s="1" t="s">
        <v>97</v>
      </c>
      <c r="M149" s="1" t="s">
        <v>76</v>
      </c>
      <c r="N149"/>
    </row>
    <row r="150" spans="1:14" x14ac:dyDescent="0.25">
      <c r="A150" s="1" t="s">
        <v>360</v>
      </c>
      <c r="B150" s="1" t="s">
        <v>283</v>
      </c>
      <c r="C150" s="5">
        <v>44359</v>
      </c>
      <c r="D150" s="6">
        <f t="shared" si="6"/>
        <v>44359</v>
      </c>
      <c r="E150" s="1" t="s">
        <v>20</v>
      </c>
      <c r="F150" s="1" t="s">
        <v>112</v>
      </c>
      <c r="G150" s="1">
        <v>75822</v>
      </c>
      <c r="H150" s="1" cm="1">
        <f t="array" ref="H150">IF(TRIM(G150)="",
   MEDIAN(IFERROR(--SUBSTITUTE(SUBSTITUTE(SUBSTITUTE(SUBSTITUTE(SUBSTITUTE(SUBSTITUTE(G$2:G$747,"Rs.",""),"INR",""),"₹",""),"â‚¹",""),"$","")," ",""),"")),
   IFERROR(--SUBSTITUTE(SUBSTITUTE(SUBSTITUTE(SUBSTITUTE(SUBSTITUTE(SUBSTITUTE(TRIM(G150),"Rs.",""),"INR",""),"₹",""),"â‚¹",""),"$","")," ",""),"")
)</f>
        <v>75822</v>
      </c>
      <c r="I150" s="1" t="str">
        <f t="shared" si="7"/>
        <v>Nill</v>
      </c>
      <c r="J150" s="1">
        <f t="shared" si="8"/>
        <v>75822</v>
      </c>
      <c r="K150" s="1" t="s">
        <v>138</v>
      </c>
      <c r="L150" s="1" t="s">
        <v>198</v>
      </c>
      <c r="M150" s="1" t="s">
        <v>179</v>
      </c>
      <c r="N150"/>
    </row>
    <row r="151" spans="1:14" x14ac:dyDescent="0.25">
      <c r="A151" s="1" t="s">
        <v>1225</v>
      </c>
      <c r="B151" s="1" t="s">
        <v>392</v>
      </c>
      <c r="C151" s="1" t="s">
        <v>1226</v>
      </c>
      <c r="D151" s="6">
        <f t="shared" si="6"/>
        <v>44427</v>
      </c>
      <c r="E151" s="1" t="s">
        <v>11</v>
      </c>
      <c r="F151" s="1" t="s">
        <v>158</v>
      </c>
      <c r="G151" s="1">
        <v>5531</v>
      </c>
      <c r="H151" s="1" cm="1">
        <f t="array" ref="H151">IF(TRIM(G151)="",
   MEDIAN(IFERROR(--SUBSTITUTE(SUBSTITUTE(SUBSTITUTE(SUBSTITUTE(SUBSTITUTE(SUBSTITUTE(G$2:G$747,"Rs.",""),"INR",""),"₹",""),"â‚¹",""),"$","")," ",""),"")),
   IFERROR(--SUBSTITUTE(SUBSTITUTE(SUBSTITUTE(SUBSTITUTE(SUBSTITUTE(SUBSTITUTE(TRIM(G151),"Rs.",""),"INR",""),"₹",""),"â‚¹",""),"$","")," ",""),"")
)</f>
        <v>5531</v>
      </c>
      <c r="I151" s="1">
        <f t="shared" si="7"/>
        <v>5531</v>
      </c>
      <c r="J151" s="1" t="str">
        <f t="shared" si="8"/>
        <v>Nill</v>
      </c>
      <c r="K151" s="1" t="s">
        <v>204</v>
      </c>
      <c r="L151" s="1" t="s">
        <v>299</v>
      </c>
      <c r="M151" s="1" t="s">
        <v>1253</v>
      </c>
      <c r="N151"/>
    </row>
    <row r="152" spans="1:14" x14ac:dyDescent="0.25">
      <c r="A152" s="1" t="s">
        <v>851</v>
      </c>
      <c r="B152" s="1" t="s">
        <v>78</v>
      </c>
      <c r="C152" s="1" t="s">
        <v>852</v>
      </c>
      <c r="D152" s="6">
        <f t="shared" si="6"/>
        <v>45099</v>
      </c>
      <c r="E152" s="1" t="s">
        <v>11</v>
      </c>
      <c r="F152" s="1" t="s">
        <v>30</v>
      </c>
      <c r="G152" s="1">
        <v>9430</v>
      </c>
      <c r="H152" s="1" cm="1">
        <f t="array" ref="H152">IF(TRIM(G152)="",
   MEDIAN(IFERROR(--SUBSTITUTE(SUBSTITUTE(SUBSTITUTE(SUBSTITUTE(SUBSTITUTE(SUBSTITUTE(G$2:G$747,"Rs.",""),"INR",""),"₹",""),"â‚¹",""),"$","")," ",""),"")),
   IFERROR(--SUBSTITUTE(SUBSTITUTE(SUBSTITUTE(SUBSTITUTE(SUBSTITUTE(SUBSTITUTE(TRIM(G152),"Rs.",""),"INR",""),"₹",""),"â‚¹",""),"$","")," ",""),"")
)</f>
        <v>9430</v>
      </c>
      <c r="I152" s="1">
        <f t="shared" si="7"/>
        <v>9430</v>
      </c>
      <c r="J152" s="1" t="str">
        <f t="shared" si="8"/>
        <v>Nill</v>
      </c>
      <c r="K152" s="1" t="s">
        <v>25</v>
      </c>
      <c r="L152" s="1" t="s">
        <v>40</v>
      </c>
      <c r="M152" s="1" t="s">
        <v>1253</v>
      </c>
      <c r="N152"/>
    </row>
    <row r="153" spans="1:14" x14ac:dyDescent="0.25">
      <c r="A153" s="1" t="s">
        <v>1007</v>
      </c>
      <c r="B153" s="1" t="s">
        <v>527</v>
      </c>
      <c r="C153" s="1" t="s">
        <v>185</v>
      </c>
      <c r="D153" s="6">
        <f t="shared" si="6"/>
        <v>45403</v>
      </c>
      <c r="E153" s="1" t="s">
        <v>11</v>
      </c>
      <c r="F153" s="1" t="s">
        <v>69</v>
      </c>
      <c r="G153" s="1">
        <v>2043</v>
      </c>
      <c r="H153" s="1" cm="1">
        <f t="array" ref="H153">IF(TRIM(G153)="",
   MEDIAN(IFERROR(--SUBSTITUTE(SUBSTITUTE(SUBSTITUTE(SUBSTITUTE(SUBSTITUTE(SUBSTITUTE(G$2:G$747,"Rs.",""),"INR",""),"₹",""),"â‚¹",""),"$","")," ",""),"")),
   IFERROR(--SUBSTITUTE(SUBSTITUTE(SUBSTITUTE(SUBSTITUTE(SUBSTITUTE(SUBSTITUTE(TRIM(G153),"Rs.",""),"INR",""),"₹",""),"â‚¹",""),"$","")," ",""),"")
)</f>
        <v>2043</v>
      </c>
      <c r="I153" s="1">
        <f t="shared" si="7"/>
        <v>2043</v>
      </c>
      <c r="J153" s="1" t="str">
        <f t="shared" si="8"/>
        <v>Nill</v>
      </c>
      <c r="K153" s="1" t="s">
        <v>138</v>
      </c>
      <c r="L153" s="1" t="s">
        <v>81</v>
      </c>
      <c r="M153" s="1" t="s">
        <v>54</v>
      </c>
      <c r="N153"/>
    </row>
    <row r="154" spans="1:14" x14ac:dyDescent="0.25">
      <c r="A154" s="1" t="s">
        <v>1037</v>
      </c>
      <c r="B154" s="1" t="s">
        <v>243</v>
      </c>
      <c r="C154" s="5">
        <v>45031</v>
      </c>
      <c r="D154" s="6">
        <f t="shared" si="6"/>
        <v>45031</v>
      </c>
      <c r="E154" s="1" t="s">
        <v>11</v>
      </c>
      <c r="F154" s="1" t="s">
        <v>171</v>
      </c>
      <c r="G154" s="1">
        <v>48330</v>
      </c>
      <c r="H154" s="1" cm="1">
        <f t="array" ref="H154">IF(TRIM(G154)="",
   MEDIAN(IFERROR(--SUBSTITUTE(SUBSTITUTE(SUBSTITUTE(SUBSTITUTE(SUBSTITUTE(SUBSTITUTE(G$2:G$747,"Rs.",""),"INR",""),"₹",""),"â‚¹",""),"$","")," ",""),"")),
   IFERROR(--SUBSTITUTE(SUBSTITUTE(SUBSTITUTE(SUBSTITUTE(SUBSTITUTE(SUBSTITUTE(TRIM(G154),"Rs.",""),"INR",""),"₹",""),"â‚¹",""),"$","")," ",""),"")
)</f>
        <v>48330</v>
      </c>
      <c r="I154" s="1">
        <f t="shared" si="7"/>
        <v>48330</v>
      </c>
      <c r="J154" s="1" t="str">
        <f t="shared" si="8"/>
        <v>Nill</v>
      </c>
      <c r="K154" s="1" t="s">
        <v>87</v>
      </c>
      <c r="L154" s="1" t="s">
        <v>40</v>
      </c>
      <c r="M154" s="1" t="s">
        <v>1253</v>
      </c>
      <c r="N154"/>
    </row>
    <row r="155" spans="1:14" x14ac:dyDescent="0.25">
      <c r="A155" s="1" t="s">
        <v>482</v>
      </c>
      <c r="B155" s="1" t="s">
        <v>340</v>
      </c>
      <c r="C155" s="5">
        <v>45029</v>
      </c>
      <c r="D155" s="6">
        <f t="shared" si="6"/>
        <v>45029</v>
      </c>
      <c r="E155" s="1" t="s">
        <v>11</v>
      </c>
      <c r="F155" s="1" t="s">
        <v>69</v>
      </c>
      <c r="G155" s="1">
        <v>775</v>
      </c>
      <c r="H155" s="1" cm="1">
        <f t="array" ref="H155">IF(TRIM(G155)="",
   MEDIAN(IFERROR(--SUBSTITUTE(SUBSTITUTE(SUBSTITUTE(SUBSTITUTE(SUBSTITUTE(SUBSTITUTE(G$2:G$747,"Rs.",""),"INR",""),"₹",""),"â‚¹",""),"$","")," ",""),"")),
   IFERROR(--SUBSTITUTE(SUBSTITUTE(SUBSTITUTE(SUBSTITUTE(SUBSTITUTE(SUBSTITUTE(TRIM(G155),"Rs.",""),"INR",""),"₹",""),"â‚¹",""),"$","")," ",""),"")
)</f>
        <v>775</v>
      </c>
      <c r="I155" s="1">
        <f t="shared" si="7"/>
        <v>775</v>
      </c>
      <c r="J155" s="1" t="str">
        <f t="shared" si="8"/>
        <v>Nill</v>
      </c>
      <c r="K155" s="1" t="s">
        <v>87</v>
      </c>
      <c r="L155" s="1" t="s">
        <v>1252</v>
      </c>
      <c r="M155" s="1" t="s">
        <v>241</v>
      </c>
      <c r="N155"/>
    </row>
    <row r="156" spans="1:14" x14ac:dyDescent="0.25">
      <c r="A156" s="1" t="s">
        <v>152</v>
      </c>
      <c r="B156" s="1" t="s">
        <v>153</v>
      </c>
      <c r="C156" s="5">
        <v>45099</v>
      </c>
      <c r="D156" s="6">
        <f t="shared" si="6"/>
        <v>45099</v>
      </c>
      <c r="E156" s="1" t="s">
        <v>11</v>
      </c>
      <c r="F156" s="1" t="s">
        <v>69</v>
      </c>
      <c r="G156" s="1">
        <v>1263</v>
      </c>
      <c r="H156" s="1" cm="1">
        <f t="array" ref="H156">IF(TRIM(G156)="",
   MEDIAN(IFERROR(--SUBSTITUTE(SUBSTITUTE(SUBSTITUTE(SUBSTITUTE(SUBSTITUTE(SUBSTITUTE(G$2:G$747,"Rs.",""),"INR",""),"₹",""),"â‚¹",""),"$","")," ",""),"")),
   IFERROR(--SUBSTITUTE(SUBSTITUTE(SUBSTITUTE(SUBSTITUTE(SUBSTITUTE(SUBSTITUTE(TRIM(G156),"Rs.",""),"INR",""),"₹",""),"â‚¹",""),"$","")," ",""),"")
)</f>
        <v>1263</v>
      </c>
      <c r="I156" s="1">
        <f t="shared" si="7"/>
        <v>1263</v>
      </c>
      <c r="J156" s="1" t="str">
        <f t="shared" si="8"/>
        <v>Nill</v>
      </c>
      <c r="K156" s="1" t="s">
        <v>48</v>
      </c>
      <c r="L156" s="1" t="s">
        <v>40</v>
      </c>
      <c r="M156" s="1" t="s">
        <v>1253</v>
      </c>
      <c r="N156"/>
    </row>
    <row r="157" spans="1:14" x14ac:dyDescent="0.25">
      <c r="A157" s="1" t="s">
        <v>314</v>
      </c>
      <c r="B157" s="1" t="s">
        <v>315</v>
      </c>
      <c r="C157" s="5">
        <v>44967</v>
      </c>
      <c r="D157" s="6">
        <f t="shared" si="6"/>
        <v>44967</v>
      </c>
      <c r="E157" s="1" t="s">
        <v>11</v>
      </c>
      <c r="F157" s="1" t="s">
        <v>249</v>
      </c>
      <c r="G157" s="1">
        <v>6704</v>
      </c>
      <c r="H157" s="1" cm="1">
        <f t="array" ref="H157">IF(TRIM(G157)="",
   MEDIAN(IFERROR(--SUBSTITUTE(SUBSTITUTE(SUBSTITUTE(SUBSTITUTE(SUBSTITUTE(SUBSTITUTE(G$2:G$747,"Rs.",""),"INR",""),"₹",""),"â‚¹",""),"$","")," ",""),"")),
   IFERROR(--SUBSTITUTE(SUBSTITUTE(SUBSTITUTE(SUBSTITUTE(SUBSTITUTE(SUBSTITUTE(TRIM(G157),"Rs.",""),"INR",""),"₹",""),"â‚¹",""),"$","")," ",""),"")
)</f>
        <v>6704</v>
      </c>
      <c r="I157" s="1">
        <f t="shared" si="7"/>
        <v>6704</v>
      </c>
      <c r="J157" s="1" t="str">
        <f t="shared" si="8"/>
        <v>Nill</v>
      </c>
      <c r="K157" s="1" t="s">
        <v>53</v>
      </c>
      <c r="L157" s="1" t="s">
        <v>198</v>
      </c>
      <c r="M157" s="1" t="s">
        <v>88</v>
      </c>
      <c r="N157"/>
    </row>
    <row r="158" spans="1:14" x14ac:dyDescent="0.25">
      <c r="A158" s="1" t="s">
        <v>540</v>
      </c>
      <c r="B158" s="1" t="s">
        <v>276</v>
      </c>
      <c r="C158" s="5">
        <v>45085</v>
      </c>
      <c r="D158" s="6">
        <f t="shared" si="6"/>
        <v>45085</v>
      </c>
      <c r="E158" s="1" t="s">
        <v>11</v>
      </c>
      <c r="F158" s="1" t="s">
        <v>171</v>
      </c>
      <c r="G158" s="1">
        <v>10749</v>
      </c>
      <c r="H158" s="1" cm="1">
        <f t="array" ref="H158">IF(TRIM(G158)="",
   MEDIAN(IFERROR(--SUBSTITUTE(SUBSTITUTE(SUBSTITUTE(SUBSTITUTE(SUBSTITUTE(SUBSTITUTE(G$2:G$747,"Rs.",""),"INR",""),"₹",""),"â‚¹",""),"$","")," ",""),"")),
   IFERROR(--SUBSTITUTE(SUBSTITUTE(SUBSTITUTE(SUBSTITUTE(SUBSTITUTE(SUBSTITUTE(TRIM(G158),"Rs.",""),"INR",""),"₹",""),"â‚¹",""),"$","")," ",""),"")
)</f>
        <v>10749</v>
      </c>
      <c r="I158" s="1">
        <f t="shared" si="7"/>
        <v>10749</v>
      </c>
      <c r="J158" s="1" t="str">
        <f t="shared" si="8"/>
        <v>Nill</v>
      </c>
      <c r="K158" s="1" t="s">
        <v>138</v>
      </c>
      <c r="L158" s="1" t="s">
        <v>40</v>
      </c>
      <c r="M158" s="1" t="s">
        <v>41</v>
      </c>
      <c r="N158"/>
    </row>
    <row r="159" spans="1:14" x14ac:dyDescent="0.25">
      <c r="A159" s="1" t="s">
        <v>1178</v>
      </c>
      <c r="B159" s="1" t="s">
        <v>169</v>
      </c>
      <c r="C159" s="5">
        <v>44235</v>
      </c>
      <c r="D159" s="6">
        <f t="shared" si="6"/>
        <v>44235</v>
      </c>
      <c r="E159" s="1" t="s">
        <v>11</v>
      </c>
      <c r="F159" s="1" t="s">
        <v>69</v>
      </c>
      <c r="G159" s="1">
        <v>5025</v>
      </c>
      <c r="H159" s="1" cm="1">
        <f t="array" ref="H159">IF(TRIM(G159)="",
   MEDIAN(IFERROR(--SUBSTITUTE(SUBSTITUTE(SUBSTITUTE(SUBSTITUTE(SUBSTITUTE(SUBSTITUTE(G$2:G$747,"Rs.",""),"INR",""),"₹",""),"â‚¹",""),"$","")," ",""),"")),
   IFERROR(--SUBSTITUTE(SUBSTITUTE(SUBSTITUTE(SUBSTITUTE(SUBSTITUTE(SUBSTITUTE(TRIM(G159),"Rs.",""),"INR",""),"₹",""),"â‚¹",""),"$","")," ",""),"")
)</f>
        <v>5025</v>
      </c>
      <c r="I159" s="1">
        <f t="shared" si="7"/>
        <v>5025</v>
      </c>
      <c r="J159" s="1" t="str">
        <f t="shared" si="8"/>
        <v>Nill</v>
      </c>
      <c r="K159" s="1" t="s">
        <v>25</v>
      </c>
      <c r="L159" s="1" t="s">
        <v>217</v>
      </c>
      <c r="M159" s="1" t="s">
        <v>1253</v>
      </c>
      <c r="N159"/>
    </row>
    <row r="160" spans="1:14" x14ac:dyDescent="0.25">
      <c r="A160" s="1" t="s">
        <v>1035</v>
      </c>
      <c r="B160" s="1" t="s">
        <v>527</v>
      </c>
      <c r="C160" s="1" t="s">
        <v>1036</v>
      </c>
      <c r="D160" s="6">
        <f t="shared" si="6"/>
        <v>44677</v>
      </c>
      <c r="E160" s="1" t="s">
        <v>11</v>
      </c>
      <c r="F160" s="1" t="s">
        <v>104</v>
      </c>
      <c r="G160" s="1">
        <v>464</v>
      </c>
      <c r="H160" s="1" cm="1">
        <f t="array" ref="H160">IF(TRIM(G160)="",
   MEDIAN(IFERROR(--SUBSTITUTE(SUBSTITUTE(SUBSTITUTE(SUBSTITUTE(SUBSTITUTE(SUBSTITUTE(G$2:G$747,"Rs.",""),"INR",""),"₹",""),"â‚¹",""),"$","")," ",""),"")),
   IFERROR(--SUBSTITUTE(SUBSTITUTE(SUBSTITUTE(SUBSTITUTE(SUBSTITUTE(SUBSTITUTE(TRIM(G160),"Rs.",""),"INR",""),"₹",""),"â‚¹",""),"$","")," ",""),"")
)</f>
        <v>464</v>
      </c>
      <c r="I160" s="1">
        <f t="shared" si="7"/>
        <v>464</v>
      </c>
      <c r="J160" s="1" t="str">
        <f t="shared" si="8"/>
        <v>Nill</v>
      </c>
      <c r="K160" s="1" t="s">
        <v>48</v>
      </c>
      <c r="L160" s="1" t="s">
        <v>299</v>
      </c>
      <c r="M160" s="1" t="s">
        <v>1253</v>
      </c>
      <c r="N160"/>
    </row>
    <row r="161" spans="1:14" x14ac:dyDescent="0.25">
      <c r="A161" s="1" t="s">
        <v>1198</v>
      </c>
      <c r="B161" s="1" t="s">
        <v>150</v>
      </c>
      <c r="C161" s="1" t="s">
        <v>1199</v>
      </c>
      <c r="D161" s="6">
        <f t="shared" si="6"/>
        <v>45154</v>
      </c>
      <c r="E161" s="1" t="s">
        <v>11</v>
      </c>
      <c r="F161" s="1" t="s">
        <v>171</v>
      </c>
      <c r="G161" s="1">
        <v>10239</v>
      </c>
      <c r="H161" s="1" cm="1">
        <f t="array" ref="H161">IF(TRIM(G161)="",
   MEDIAN(IFERROR(--SUBSTITUTE(SUBSTITUTE(SUBSTITUTE(SUBSTITUTE(SUBSTITUTE(SUBSTITUTE(G$2:G$747,"Rs.",""),"INR",""),"₹",""),"â‚¹",""),"$","")," ",""),"")),
   IFERROR(--SUBSTITUTE(SUBSTITUTE(SUBSTITUTE(SUBSTITUTE(SUBSTITUTE(SUBSTITUTE(TRIM(G161),"Rs.",""),"INR",""),"₹",""),"â‚¹",""),"$","")," ",""),"")
)</f>
        <v>10239</v>
      </c>
      <c r="I161" s="1">
        <f t="shared" si="7"/>
        <v>10239</v>
      </c>
      <c r="J161" s="1" t="str">
        <f t="shared" si="8"/>
        <v>Nill</v>
      </c>
      <c r="K161" s="1" t="s">
        <v>25</v>
      </c>
      <c r="L161" s="1" t="s">
        <v>217</v>
      </c>
      <c r="M161" s="1" t="s">
        <v>35</v>
      </c>
      <c r="N161"/>
    </row>
    <row r="162" spans="1:14" x14ac:dyDescent="0.25">
      <c r="A162" s="1" t="s">
        <v>624</v>
      </c>
      <c r="B162" s="1" t="s">
        <v>216</v>
      </c>
      <c r="C162" s="5">
        <v>45178</v>
      </c>
      <c r="D162" s="6">
        <f t="shared" si="6"/>
        <v>45178</v>
      </c>
      <c r="E162" s="1" t="s">
        <v>11</v>
      </c>
      <c r="F162" s="1" t="s">
        <v>186</v>
      </c>
      <c r="G162" s="1">
        <v>8634</v>
      </c>
      <c r="H162" s="1" cm="1">
        <f t="array" ref="H162">IF(TRIM(G162)="",
   MEDIAN(IFERROR(--SUBSTITUTE(SUBSTITUTE(SUBSTITUTE(SUBSTITUTE(SUBSTITUTE(SUBSTITUTE(G$2:G$747,"Rs.",""),"INR",""),"₹",""),"â‚¹",""),"$","")," ",""),"")),
   IFERROR(--SUBSTITUTE(SUBSTITUTE(SUBSTITUTE(SUBSTITUTE(SUBSTITUTE(SUBSTITUTE(TRIM(G162),"Rs.",""),"INR",""),"₹",""),"â‚¹",""),"$","")," ",""),"")
)</f>
        <v>8634</v>
      </c>
      <c r="I162" s="1">
        <f t="shared" si="7"/>
        <v>8634</v>
      </c>
      <c r="J162" s="1" t="str">
        <f t="shared" si="8"/>
        <v>Nill</v>
      </c>
      <c r="K162" s="1" t="s">
        <v>25</v>
      </c>
      <c r="L162" s="1" t="s">
        <v>40</v>
      </c>
      <c r="M162" s="1" t="s">
        <v>54</v>
      </c>
      <c r="N162"/>
    </row>
    <row r="163" spans="1:14" x14ac:dyDescent="0.25">
      <c r="A163" s="1" t="s">
        <v>351</v>
      </c>
      <c r="B163" s="1" t="s">
        <v>352</v>
      </c>
      <c r="C163" s="5">
        <v>44512</v>
      </c>
      <c r="D163" s="6">
        <f t="shared" si="6"/>
        <v>44512</v>
      </c>
      <c r="E163" s="1" t="s">
        <v>20</v>
      </c>
      <c r="F163" s="1" t="s">
        <v>44</v>
      </c>
      <c r="G163" s="1" t="s">
        <v>353</v>
      </c>
      <c r="H163" s="1" cm="1">
        <f t="array" ref="H163">IF(TRIM(G163)="",
   MEDIAN(IFERROR(--SUBSTITUTE(SUBSTITUTE(SUBSTITUTE(SUBSTITUTE(SUBSTITUTE(SUBSTITUTE(G$2:G$747,"Rs.",""),"INR",""),"₹",""),"â‚¹",""),"$","")," ",""),"")),
   IFERROR(--SUBSTITUTE(SUBSTITUTE(SUBSTITUTE(SUBSTITUTE(SUBSTITUTE(SUBSTITUTE(TRIM(G163),"Rs.",""),"INR",""),"₹",""),"â‚¹",""),"$","")," ",""),"")
)</f>
        <v>24920</v>
      </c>
      <c r="I163" s="1" t="str">
        <f t="shared" si="7"/>
        <v>Nill</v>
      </c>
      <c r="J163" s="1">
        <f t="shared" si="8"/>
        <v>24920</v>
      </c>
      <c r="K163" s="1" t="s">
        <v>48</v>
      </c>
      <c r="L163" s="1" t="s">
        <v>299</v>
      </c>
      <c r="M163" s="1" t="s">
        <v>128</v>
      </c>
      <c r="N163"/>
    </row>
    <row r="164" spans="1:14" x14ac:dyDescent="0.25">
      <c r="A164" s="1" t="s">
        <v>960</v>
      </c>
      <c r="B164" s="1" t="s">
        <v>216</v>
      </c>
      <c r="C164" s="1" t="s">
        <v>830</v>
      </c>
      <c r="D164" s="6">
        <f t="shared" si="6"/>
        <v>45192</v>
      </c>
      <c r="E164" s="1" t="s">
        <v>11</v>
      </c>
      <c r="F164" s="1" t="s">
        <v>69</v>
      </c>
      <c r="G164" s="1">
        <v>2318</v>
      </c>
      <c r="H164" s="1" cm="1">
        <f t="array" ref="H164">IF(TRIM(G164)="",
   MEDIAN(IFERROR(--SUBSTITUTE(SUBSTITUTE(SUBSTITUTE(SUBSTITUTE(SUBSTITUTE(SUBSTITUTE(G$2:G$747,"Rs.",""),"INR",""),"₹",""),"â‚¹",""),"$","")," ",""),"")),
   IFERROR(--SUBSTITUTE(SUBSTITUTE(SUBSTITUTE(SUBSTITUTE(SUBSTITUTE(SUBSTITUTE(TRIM(G164),"Rs.",""),"INR",""),"₹",""),"â‚¹",""),"$","")," ",""),"")
)</f>
        <v>2318</v>
      </c>
      <c r="I164" s="1">
        <f t="shared" si="7"/>
        <v>2318</v>
      </c>
      <c r="J164" s="1" t="str">
        <f t="shared" si="8"/>
        <v>Nill</v>
      </c>
      <c r="K164" s="1" t="s">
        <v>25</v>
      </c>
      <c r="L164" s="1" t="s">
        <v>198</v>
      </c>
      <c r="M164" s="1" t="s">
        <v>54</v>
      </c>
      <c r="N164"/>
    </row>
    <row r="165" spans="1:14" x14ac:dyDescent="0.25">
      <c r="A165" s="1" t="s">
        <v>98</v>
      </c>
      <c r="B165" s="1" t="s">
        <v>99</v>
      </c>
      <c r="D165" s="6" t="str">
        <f t="shared" si="6"/>
        <v>unknown</v>
      </c>
      <c r="E165" s="1" t="s">
        <v>11</v>
      </c>
      <c r="F165" s="1" t="s">
        <v>69</v>
      </c>
      <c r="G165" s="1">
        <v>4452</v>
      </c>
      <c r="H165" s="1" cm="1">
        <f t="array" ref="H165">IF(TRIM(G165)="",
   MEDIAN(IFERROR(--SUBSTITUTE(SUBSTITUTE(SUBSTITUTE(SUBSTITUTE(SUBSTITUTE(SUBSTITUTE(G$2:G$747,"Rs.",""),"INR",""),"₹",""),"â‚¹",""),"$","")," ",""),"")),
   IFERROR(--SUBSTITUTE(SUBSTITUTE(SUBSTITUTE(SUBSTITUTE(SUBSTITUTE(SUBSTITUTE(TRIM(G165),"Rs.",""),"INR",""),"₹",""),"â‚¹",""),"$","")," ",""),"")
)</f>
        <v>4452</v>
      </c>
      <c r="I165" s="1">
        <f t="shared" si="7"/>
        <v>4452</v>
      </c>
      <c r="J165" s="1" t="str">
        <f t="shared" si="8"/>
        <v>Nill</v>
      </c>
      <c r="K165" s="1" t="s">
        <v>12</v>
      </c>
      <c r="L165" s="1" t="s">
        <v>81</v>
      </c>
      <c r="M165" s="1" t="s">
        <v>1253</v>
      </c>
      <c r="N165"/>
    </row>
    <row r="166" spans="1:14" x14ac:dyDescent="0.25">
      <c r="A166" s="1" t="s">
        <v>950</v>
      </c>
      <c r="B166" s="1" t="s">
        <v>628</v>
      </c>
      <c r="C166" s="5">
        <v>44295</v>
      </c>
      <c r="D166" s="6">
        <f t="shared" si="6"/>
        <v>44295</v>
      </c>
      <c r="E166" s="1" t="s">
        <v>11</v>
      </c>
      <c r="F166" s="1" t="s">
        <v>249</v>
      </c>
      <c r="G166" s="1">
        <v>7818</v>
      </c>
      <c r="H166" s="1" cm="1">
        <f t="array" ref="H166">IF(TRIM(G166)="",
   MEDIAN(IFERROR(--SUBSTITUTE(SUBSTITUTE(SUBSTITUTE(SUBSTITUTE(SUBSTITUTE(SUBSTITUTE(G$2:G$747,"Rs.",""),"INR",""),"₹",""),"â‚¹",""),"$","")," ",""),"")),
   IFERROR(--SUBSTITUTE(SUBSTITUTE(SUBSTITUTE(SUBSTITUTE(SUBSTITUTE(SUBSTITUTE(TRIM(G166),"Rs.",""),"INR",""),"₹",""),"â‚¹",""),"$","")," ",""),"")
)</f>
        <v>7818</v>
      </c>
      <c r="I166" s="1">
        <f t="shared" si="7"/>
        <v>7818</v>
      </c>
      <c r="J166" s="1" t="str">
        <f t="shared" si="8"/>
        <v>Nill</v>
      </c>
      <c r="K166" s="1" t="s">
        <v>53</v>
      </c>
      <c r="L166" s="1" t="s">
        <v>97</v>
      </c>
      <c r="M166" s="1" t="s">
        <v>122</v>
      </c>
      <c r="N166"/>
    </row>
    <row r="167" spans="1:14" x14ac:dyDescent="0.25">
      <c r="A167" s="1" t="s">
        <v>398</v>
      </c>
      <c r="B167" s="1" t="s">
        <v>399</v>
      </c>
      <c r="C167" s="1" t="s">
        <v>400</v>
      </c>
      <c r="D167" s="6">
        <f t="shared" si="6"/>
        <v>45077</v>
      </c>
      <c r="E167" s="1" t="s">
        <v>11</v>
      </c>
      <c r="F167" s="1" t="s">
        <v>85</v>
      </c>
      <c r="G167" s="1">
        <v>2990</v>
      </c>
      <c r="H167" s="1" cm="1">
        <f t="array" ref="H167">IF(TRIM(G167)="",
   MEDIAN(IFERROR(--SUBSTITUTE(SUBSTITUTE(SUBSTITUTE(SUBSTITUTE(SUBSTITUTE(SUBSTITUTE(G$2:G$747,"Rs.",""),"INR",""),"₹",""),"â‚¹",""),"$","")," ",""),"")),
   IFERROR(--SUBSTITUTE(SUBSTITUTE(SUBSTITUTE(SUBSTITUTE(SUBSTITUTE(SUBSTITUTE(TRIM(G167),"Rs.",""),"INR",""),"₹",""),"â‚¹",""),"$","")," ",""),"")
)</f>
        <v>2990</v>
      </c>
      <c r="I167" s="1">
        <f t="shared" si="7"/>
        <v>2990</v>
      </c>
      <c r="J167" s="1" t="str">
        <f t="shared" si="8"/>
        <v>Nill</v>
      </c>
      <c r="K167" s="1" t="s">
        <v>48</v>
      </c>
      <c r="L167" s="1" t="s">
        <v>198</v>
      </c>
      <c r="M167" s="1" t="s">
        <v>133</v>
      </c>
      <c r="N167"/>
    </row>
    <row r="168" spans="1:14" x14ac:dyDescent="0.25">
      <c r="A168" s="1" t="s">
        <v>843</v>
      </c>
      <c r="B168" s="1" t="s">
        <v>295</v>
      </c>
      <c r="C168" s="5">
        <v>44400</v>
      </c>
      <c r="D168" s="6">
        <f t="shared" si="6"/>
        <v>44400</v>
      </c>
      <c r="E168" s="1" t="s">
        <v>11</v>
      </c>
      <c r="F168" s="1" t="s">
        <v>158</v>
      </c>
      <c r="G168" s="1" t="s">
        <v>844</v>
      </c>
      <c r="H168" s="1" cm="1">
        <f t="array" ref="H168">IF(TRIM(G168)="",
   MEDIAN(IFERROR(--SUBSTITUTE(SUBSTITUTE(SUBSTITUTE(SUBSTITUTE(SUBSTITUTE(SUBSTITUTE(G$2:G$747,"Rs.",""),"INR",""),"₹",""),"â‚¹",""),"$","")," ",""),"")),
   IFERROR(--SUBSTITUTE(SUBSTITUTE(SUBSTITUTE(SUBSTITUTE(SUBSTITUTE(SUBSTITUTE(TRIM(G168),"Rs.",""),"INR",""),"₹",""),"â‚¹",""),"$","")," ",""),"")
)</f>
        <v>887</v>
      </c>
      <c r="I168" s="1">
        <f t="shared" si="7"/>
        <v>887</v>
      </c>
      <c r="J168" s="1" t="str">
        <f t="shared" si="8"/>
        <v>Nill</v>
      </c>
      <c r="K168" s="1" t="s">
        <v>48</v>
      </c>
      <c r="L168" s="1" t="s">
        <v>217</v>
      </c>
      <c r="M168" s="1" t="s">
        <v>252</v>
      </c>
      <c r="N168"/>
    </row>
    <row r="169" spans="1:14" x14ac:dyDescent="0.25">
      <c r="A169" s="1" t="s">
        <v>947</v>
      </c>
      <c r="B169" s="1" t="s">
        <v>457</v>
      </c>
      <c r="C169" s="5">
        <v>45513</v>
      </c>
      <c r="D169" s="6">
        <f t="shared" si="6"/>
        <v>45513</v>
      </c>
      <c r="E169" s="1" t="s">
        <v>11</v>
      </c>
      <c r="F169" s="1" t="s">
        <v>104</v>
      </c>
      <c r="G169" s="1" t="s">
        <v>948</v>
      </c>
      <c r="H169" s="1" cm="1">
        <f t="array" ref="H169">IF(TRIM(G169)="",
   MEDIAN(IFERROR(--SUBSTITUTE(SUBSTITUTE(SUBSTITUTE(SUBSTITUTE(SUBSTITUTE(SUBSTITUTE(G$2:G$747,"Rs.",""),"INR",""),"₹",""),"â‚¹",""),"$","")," ",""),"")),
   IFERROR(--SUBSTITUTE(SUBSTITUTE(SUBSTITUTE(SUBSTITUTE(SUBSTITUTE(SUBSTITUTE(TRIM(G169),"Rs.",""),"INR",""),"₹",""),"â‚¹",""),"$","")," ",""),"")
)</f>
        <v>9013</v>
      </c>
      <c r="I169" s="1">
        <f t="shared" si="7"/>
        <v>9013</v>
      </c>
      <c r="J169" s="1" t="str">
        <f t="shared" si="8"/>
        <v>Nill</v>
      </c>
      <c r="K169" s="1" t="s">
        <v>172</v>
      </c>
      <c r="L169" s="1" t="s">
        <v>81</v>
      </c>
      <c r="M169" s="1" t="s">
        <v>1253</v>
      </c>
      <c r="N169"/>
    </row>
    <row r="170" spans="1:14" x14ac:dyDescent="0.25">
      <c r="A170" s="1" t="s">
        <v>137</v>
      </c>
      <c r="B170" s="1" t="s">
        <v>108</v>
      </c>
      <c r="C170" s="5">
        <v>45289</v>
      </c>
      <c r="D170" s="6">
        <f t="shared" si="6"/>
        <v>45289</v>
      </c>
      <c r="E170" s="1" t="s">
        <v>11</v>
      </c>
      <c r="F170" s="1" t="s">
        <v>52</v>
      </c>
      <c r="G170" s="1">
        <v>4823</v>
      </c>
      <c r="H170" s="1" cm="1">
        <f t="array" ref="H170">IF(TRIM(G170)="",
   MEDIAN(IFERROR(--SUBSTITUTE(SUBSTITUTE(SUBSTITUTE(SUBSTITUTE(SUBSTITUTE(SUBSTITUTE(G$2:G$747,"Rs.",""),"INR",""),"₹",""),"â‚¹",""),"$","")," ",""),"")),
   IFERROR(--SUBSTITUTE(SUBSTITUTE(SUBSTITUTE(SUBSTITUTE(SUBSTITUTE(SUBSTITUTE(TRIM(G170),"Rs.",""),"INR",""),"₹",""),"â‚¹",""),"$","")," ",""),"")
)</f>
        <v>4823</v>
      </c>
      <c r="I170" s="1">
        <f t="shared" si="7"/>
        <v>4823</v>
      </c>
      <c r="J170" s="1" t="str">
        <f t="shared" si="8"/>
        <v>Nill</v>
      </c>
      <c r="K170" s="1" t="s">
        <v>138</v>
      </c>
      <c r="L170" s="1" t="s">
        <v>13</v>
      </c>
      <c r="M170" s="1" t="s">
        <v>1253</v>
      </c>
      <c r="N170"/>
    </row>
    <row r="171" spans="1:14" x14ac:dyDescent="0.25">
      <c r="A171" s="1" t="s">
        <v>481</v>
      </c>
      <c r="B171" s="1" t="s">
        <v>34</v>
      </c>
      <c r="C171" s="5">
        <v>44592</v>
      </c>
      <c r="D171" s="6">
        <f t="shared" si="6"/>
        <v>44592</v>
      </c>
      <c r="E171" s="1" t="s">
        <v>20</v>
      </c>
      <c r="F171" s="1" t="s">
        <v>112</v>
      </c>
      <c r="G171" s="1">
        <v>31183</v>
      </c>
      <c r="H171" s="1" cm="1">
        <f t="array" ref="H171">IF(TRIM(G171)="",
   MEDIAN(IFERROR(--SUBSTITUTE(SUBSTITUTE(SUBSTITUTE(SUBSTITUTE(SUBSTITUTE(SUBSTITUTE(G$2:G$747,"Rs.",""),"INR",""),"₹",""),"â‚¹",""),"$","")," ",""),"")),
   IFERROR(--SUBSTITUTE(SUBSTITUTE(SUBSTITUTE(SUBSTITUTE(SUBSTITUTE(SUBSTITUTE(TRIM(G171),"Rs.",""),"INR",""),"₹",""),"â‚¹",""),"$","")," ",""),"")
)</f>
        <v>31183</v>
      </c>
      <c r="I171" s="1" t="str">
        <f t="shared" si="7"/>
        <v>Nill</v>
      </c>
      <c r="J171" s="1">
        <f t="shared" si="8"/>
        <v>31183</v>
      </c>
      <c r="K171" s="1" t="s">
        <v>25</v>
      </c>
      <c r="L171" s="1" t="s">
        <v>97</v>
      </c>
      <c r="M171" s="1" t="s">
        <v>117</v>
      </c>
      <c r="N171"/>
    </row>
    <row r="172" spans="1:14" x14ac:dyDescent="0.25">
      <c r="A172" s="1" t="s">
        <v>776</v>
      </c>
      <c r="B172" s="1" t="s">
        <v>657</v>
      </c>
      <c r="C172" s="5">
        <v>44594</v>
      </c>
      <c r="D172" s="6">
        <f t="shared" si="6"/>
        <v>44594</v>
      </c>
      <c r="E172" s="1" t="s">
        <v>20</v>
      </c>
      <c r="F172" s="1" t="s">
        <v>44</v>
      </c>
      <c r="G172" s="1">
        <v>63125</v>
      </c>
      <c r="H172" s="1" cm="1">
        <f t="array" ref="H172">IF(TRIM(G172)="",
   MEDIAN(IFERROR(--SUBSTITUTE(SUBSTITUTE(SUBSTITUTE(SUBSTITUTE(SUBSTITUTE(SUBSTITUTE(G$2:G$747,"Rs.",""),"INR",""),"₹",""),"â‚¹",""),"$","")," ",""),"")),
   IFERROR(--SUBSTITUTE(SUBSTITUTE(SUBSTITUTE(SUBSTITUTE(SUBSTITUTE(SUBSTITUTE(TRIM(G172),"Rs.",""),"INR",""),"₹",""),"â‚¹",""),"$","")," ",""),"")
)</f>
        <v>63125</v>
      </c>
      <c r="I172" s="1" t="str">
        <f t="shared" si="7"/>
        <v>Nill</v>
      </c>
      <c r="J172" s="1">
        <f t="shared" si="8"/>
        <v>63125</v>
      </c>
      <c r="K172" s="1" t="s">
        <v>138</v>
      </c>
      <c r="L172" s="1" t="s">
        <v>299</v>
      </c>
      <c r="M172" s="1" t="s">
        <v>82</v>
      </c>
      <c r="N172"/>
    </row>
    <row r="173" spans="1:14" x14ac:dyDescent="0.25">
      <c r="A173" s="1" t="s">
        <v>1084</v>
      </c>
      <c r="B173" s="1" t="s">
        <v>34</v>
      </c>
      <c r="C173" s="5">
        <v>45029</v>
      </c>
      <c r="D173" s="6">
        <f t="shared" si="6"/>
        <v>45029</v>
      </c>
      <c r="E173" s="1" t="s">
        <v>11</v>
      </c>
      <c r="F173" s="1" t="s">
        <v>85</v>
      </c>
      <c r="G173" s="1">
        <v>5205</v>
      </c>
      <c r="H173" s="1" cm="1">
        <f t="array" ref="H173">IF(TRIM(G173)="",
   MEDIAN(IFERROR(--SUBSTITUTE(SUBSTITUTE(SUBSTITUTE(SUBSTITUTE(SUBSTITUTE(SUBSTITUTE(G$2:G$747,"Rs.",""),"INR",""),"₹",""),"â‚¹",""),"$","")," ",""),"")),
   IFERROR(--SUBSTITUTE(SUBSTITUTE(SUBSTITUTE(SUBSTITUTE(SUBSTITUTE(SUBSTITUTE(TRIM(G173),"Rs.",""),"INR",""),"₹",""),"â‚¹",""),"$","")," ",""),"")
)</f>
        <v>5205</v>
      </c>
      <c r="I173" s="1">
        <f t="shared" si="7"/>
        <v>5205</v>
      </c>
      <c r="J173" s="1" t="str">
        <f t="shared" si="8"/>
        <v>Nill</v>
      </c>
      <c r="K173" s="1" t="s">
        <v>25</v>
      </c>
      <c r="L173" s="1" t="s">
        <v>167</v>
      </c>
      <c r="M173" s="1" t="s">
        <v>117</v>
      </c>
      <c r="N173"/>
    </row>
    <row r="174" spans="1:14" x14ac:dyDescent="0.25">
      <c r="A174" s="1" t="s">
        <v>563</v>
      </c>
      <c r="B174" s="1" t="s">
        <v>410</v>
      </c>
      <c r="C174" s="1" t="s">
        <v>564</v>
      </c>
      <c r="D174" s="6">
        <f t="shared" si="6"/>
        <v>45469</v>
      </c>
      <c r="E174" s="1" t="s">
        <v>11</v>
      </c>
      <c r="F174" s="1" t="s">
        <v>69</v>
      </c>
      <c r="G174" s="1">
        <v>8174</v>
      </c>
      <c r="H174" s="1" cm="1">
        <f t="array" ref="H174">IF(TRIM(G174)="",
   MEDIAN(IFERROR(--SUBSTITUTE(SUBSTITUTE(SUBSTITUTE(SUBSTITUTE(SUBSTITUTE(SUBSTITUTE(G$2:G$747,"Rs.",""),"INR",""),"₹",""),"â‚¹",""),"$","")," ",""),"")),
   IFERROR(--SUBSTITUTE(SUBSTITUTE(SUBSTITUTE(SUBSTITUTE(SUBSTITUTE(SUBSTITUTE(TRIM(G174),"Rs.",""),"INR",""),"₹",""),"â‚¹",""),"$","")," ",""),"")
)</f>
        <v>8174</v>
      </c>
      <c r="I174" s="1">
        <f t="shared" si="7"/>
        <v>8174</v>
      </c>
      <c r="J174" s="1" t="str">
        <f t="shared" si="8"/>
        <v>Nill</v>
      </c>
      <c r="K174" s="1" t="s">
        <v>75</v>
      </c>
      <c r="L174" s="1" t="s">
        <v>167</v>
      </c>
      <c r="M174" s="1" t="s">
        <v>1253</v>
      </c>
      <c r="N174"/>
    </row>
    <row r="175" spans="1:14" x14ac:dyDescent="0.25">
      <c r="A175" s="1" t="s">
        <v>269</v>
      </c>
      <c r="B175" s="1" t="s">
        <v>37</v>
      </c>
      <c r="C175" s="1" t="s">
        <v>188</v>
      </c>
      <c r="D175" s="6">
        <f t="shared" si="6"/>
        <v>44669</v>
      </c>
      <c r="E175" s="1" t="s">
        <v>11</v>
      </c>
      <c r="F175" s="1" t="s">
        <v>85</v>
      </c>
      <c r="G175" s="1">
        <v>9154</v>
      </c>
      <c r="H175" s="1" cm="1">
        <f t="array" ref="H175">IF(TRIM(G175)="",
   MEDIAN(IFERROR(--SUBSTITUTE(SUBSTITUTE(SUBSTITUTE(SUBSTITUTE(SUBSTITUTE(SUBSTITUTE(G$2:G$747,"Rs.",""),"INR",""),"₹",""),"â‚¹",""),"$","")," ",""),"")),
   IFERROR(--SUBSTITUTE(SUBSTITUTE(SUBSTITUTE(SUBSTITUTE(SUBSTITUTE(SUBSTITUTE(TRIM(G175),"Rs.",""),"INR",""),"₹",""),"â‚¹",""),"$","")," ",""),"")
)</f>
        <v>9154</v>
      </c>
      <c r="I175" s="1">
        <f t="shared" si="7"/>
        <v>9154</v>
      </c>
      <c r="J175" s="1" t="str">
        <f t="shared" si="8"/>
        <v>Nill</v>
      </c>
      <c r="K175" s="1" t="s">
        <v>12</v>
      </c>
      <c r="L175" s="1" t="s">
        <v>127</v>
      </c>
      <c r="M175" s="1" t="s">
        <v>1253</v>
      </c>
      <c r="N175"/>
    </row>
    <row r="176" spans="1:14" x14ac:dyDescent="0.25">
      <c r="A176" s="1" t="s">
        <v>1021</v>
      </c>
      <c r="B176" s="1" t="s">
        <v>457</v>
      </c>
      <c r="C176" s="5">
        <v>44603</v>
      </c>
      <c r="D176" s="6">
        <f t="shared" si="6"/>
        <v>44603</v>
      </c>
      <c r="E176" s="1" t="s">
        <v>11</v>
      </c>
      <c r="F176" s="1" t="s">
        <v>171</v>
      </c>
      <c r="G176" s="1">
        <v>34418</v>
      </c>
      <c r="H176" s="1" cm="1">
        <f t="array" ref="H176">IF(TRIM(G176)="",
   MEDIAN(IFERROR(--SUBSTITUTE(SUBSTITUTE(SUBSTITUTE(SUBSTITUTE(SUBSTITUTE(SUBSTITUTE(G$2:G$747,"Rs.",""),"INR",""),"₹",""),"â‚¹",""),"$","")," ",""),"")),
   IFERROR(--SUBSTITUTE(SUBSTITUTE(SUBSTITUTE(SUBSTITUTE(SUBSTITUTE(SUBSTITUTE(TRIM(G176),"Rs.",""),"INR",""),"₹",""),"â‚¹",""),"$","")," ",""),"")
)</f>
        <v>34418</v>
      </c>
      <c r="I176" s="1">
        <f t="shared" si="7"/>
        <v>34418</v>
      </c>
      <c r="J176" s="1" t="str">
        <f t="shared" si="8"/>
        <v>Nill</v>
      </c>
      <c r="K176" s="1" t="s">
        <v>87</v>
      </c>
      <c r="L176" s="1" t="s">
        <v>299</v>
      </c>
      <c r="M176" s="1" t="s">
        <v>22</v>
      </c>
      <c r="N176"/>
    </row>
    <row r="177" spans="1:14" x14ac:dyDescent="0.25">
      <c r="A177" s="1" t="s">
        <v>235</v>
      </c>
      <c r="B177" s="1" t="s">
        <v>236</v>
      </c>
      <c r="C177" s="5">
        <v>44586</v>
      </c>
      <c r="D177" s="6">
        <f t="shared" si="6"/>
        <v>44586</v>
      </c>
      <c r="E177" s="1" t="s">
        <v>11</v>
      </c>
      <c r="F177" s="1" t="s">
        <v>171</v>
      </c>
      <c r="G177" s="1">
        <v>20509</v>
      </c>
      <c r="H177" s="1" cm="1">
        <f t="array" ref="H177">IF(TRIM(G177)="",
   MEDIAN(IFERROR(--SUBSTITUTE(SUBSTITUTE(SUBSTITUTE(SUBSTITUTE(SUBSTITUTE(SUBSTITUTE(G$2:G$747,"Rs.",""),"INR",""),"₹",""),"â‚¹",""),"$","")," ",""),"")),
   IFERROR(--SUBSTITUTE(SUBSTITUTE(SUBSTITUTE(SUBSTITUTE(SUBSTITUTE(SUBSTITUTE(TRIM(G177),"Rs.",""),"INR",""),"₹",""),"â‚¹",""),"$","")," ",""),"")
)</f>
        <v>20509</v>
      </c>
      <c r="I177" s="1">
        <f t="shared" si="7"/>
        <v>20509</v>
      </c>
      <c r="J177" s="1" t="str">
        <f t="shared" si="8"/>
        <v>Nill</v>
      </c>
      <c r="K177" s="1" t="s">
        <v>25</v>
      </c>
      <c r="L177" s="1" t="s">
        <v>81</v>
      </c>
      <c r="M177" s="1" t="s">
        <v>133</v>
      </c>
      <c r="N177"/>
    </row>
    <row r="178" spans="1:14" x14ac:dyDescent="0.25">
      <c r="A178" s="1" t="s">
        <v>380</v>
      </c>
      <c r="B178" s="1" t="s">
        <v>265</v>
      </c>
      <c r="C178" s="5">
        <v>45037</v>
      </c>
      <c r="D178" s="6">
        <f t="shared" si="6"/>
        <v>45037</v>
      </c>
      <c r="E178" s="1" t="s">
        <v>20</v>
      </c>
      <c r="F178" s="1" t="s">
        <v>52</v>
      </c>
      <c r="G178" s="1">
        <v>47262</v>
      </c>
      <c r="H178" s="1" cm="1">
        <f t="array" ref="H178">IF(TRIM(G178)="",
   MEDIAN(IFERROR(--SUBSTITUTE(SUBSTITUTE(SUBSTITUTE(SUBSTITUTE(SUBSTITUTE(SUBSTITUTE(G$2:G$747,"Rs.",""),"INR",""),"₹",""),"â‚¹",""),"$","")," ",""),"")),
   IFERROR(--SUBSTITUTE(SUBSTITUTE(SUBSTITUTE(SUBSTITUTE(SUBSTITUTE(SUBSTITUTE(TRIM(G178),"Rs.",""),"INR",""),"₹",""),"â‚¹",""),"$","")," ",""),"")
)</f>
        <v>47262</v>
      </c>
      <c r="I178" s="1" t="str">
        <f t="shared" si="7"/>
        <v>Nill</v>
      </c>
      <c r="J178" s="1">
        <f t="shared" si="8"/>
        <v>47262</v>
      </c>
      <c r="K178" s="1" t="s">
        <v>25</v>
      </c>
      <c r="L178" s="1" t="s">
        <v>217</v>
      </c>
      <c r="M178" s="1" t="s">
        <v>1253</v>
      </c>
      <c r="N178"/>
    </row>
    <row r="179" spans="1:14" x14ac:dyDescent="0.25">
      <c r="A179" s="1" t="s">
        <v>1003</v>
      </c>
      <c r="B179" s="1" t="s">
        <v>310</v>
      </c>
      <c r="C179" s="5">
        <v>44207</v>
      </c>
      <c r="D179" s="6">
        <f t="shared" si="6"/>
        <v>44207</v>
      </c>
      <c r="E179" s="1" t="s">
        <v>11</v>
      </c>
      <c r="F179" s="1" t="s">
        <v>249</v>
      </c>
      <c r="G179" s="1" t="s">
        <v>1004</v>
      </c>
      <c r="H179" s="1" cm="1">
        <f t="array" ref="H179">IF(TRIM(G179)="",
   MEDIAN(IFERROR(--SUBSTITUTE(SUBSTITUTE(SUBSTITUTE(SUBSTITUTE(SUBSTITUTE(SUBSTITUTE(G$2:G$747,"Rs.",""),"INR",""),"₹",""),"â‚¹",""),"$","")," ",""),"")),
   IFERROR(--SUBSTITUTE(SUBSTITUTE(SUBSTITUTE(SUBSTITUTE(SUBSTITUTE(SUBSTITUTE(TRIM(G179),"Rs.",""),"INR",""),"₹",""),"â‚¹",""),"$","")," ",""),"")
)</f>
        <v>8855</v>
      </c>
      <c r="I179" s="1">
        <f t="shared" si="7"/>
        <v>8855</v>
      </c>
      <c r="J179" s="1" t="str">
        <f t="shared" si="8"/>
        <v>Nill</v>
      </c>
      <c r="K179" s="1" t="s">
        <v>87</v>
      </c>
      <c r="L179" s="1" t="s">
        <v>127</v>
      </c>
      <c r="M179" s="1" t="s">
        <v>1253</v>
      </c>
      <c r="N179"/>
    </row>
    <row r="180" spans="1:14" x14ac:dyDescent="0.25">
      <c r="A180" s="1" t="s">
        <v>141</v>
      </c>
      <c r="B180" s="1" t="s">
        <v>142</v>
      </c>
      <c r="C180" s="1" t="s">
        <v>143</v>
      </c>
      <c r="D180" s="6">
        <f t="shared" si="6"/>
        <v>45244</v>
      </c>
      <c r="E180" s="1" t="s">
        <v>11</v>
      </c>
      <c r="F180" s="1" t="s">
        <v>69</v>
      </c>
      <c r="H180" s="1" cm="1">
        <f t="array" ref="H180">IF(TRIM(G180)="",
   MEDIAN(IFERROR(--SUBSTITUTE(SUBSTITUTE(SUBSTITUTE(SUBSTITUTE(SUBSTITUTE(SUBSTITUTE(G$2:G$747,"Rs.",""),"INR",""),"₹",""),"â‚¹",""),"$","")," ",""),"")),
   IFERROR(--SUBSTITUTE(SUBSTITUTE(SUBSTITUTE(SUBSTITUTE(SUBSTITUTE(SUBSTITUTE(TRIM(G180),"Rs.",""),"INR",""),"₹",""),"â‚¹",""),"$","")," ",""),"")
)</f>
        <v>5935</v>
      </c>
      <c r="I180" s="1">
        <f t="shared" si="7"/>
        <v>5935</v>
      </c>
      <c r="J180" s="1" t="str">
        <f t="shared" si="8"/>
        <v>Nill</v>
      </c>
      <c r="K180" s="1" t="s">
        <v>87</v>
      </c>
      <c r="L180" s="1" t="s">
        <v>40</v>
      </c>
      <c r="M180" s="1" t="s">
        <v>1253</v>
      </c>
      <c r="N180"/>
    </row>
    <row r="181" spans="1:14" x14ac:dyDescent="0.25">
      <c r="A181" s="1" t="s">
        <v>391</v>
      </c>
      <c r="B181" s="1" t="s">
        <v>392</v>
      </c>
      <c r="C181" s="5">
        <v>44653</v>
      </c>
      <c r="D181" s="6">
        <f t="shared" si="6"/>
        <v>44653</v>
      </c>
      <c r="E181" s="1" t="s">
        <v>11</v>
      </c>
      <c r="F181" s="1" t="s">
        <v>249</v>
      </c>
      <c r="G181" s="1" t="s">
        <v>393</v>
      </c>
      <c r="H181" s="1" cm="1">
        <f t="array" ref="H181">IF(TRIM(G181)="",
   MEDIAN(IFERROR(--SUBSTITUTE(SUBSTITUTE(SUBSTITUTE(SUBSTITUTE(SUBSTITUTE(SUBSTITUTE(G$2:G$747,"Rs.",""),"INR",""),"₹",""),"â‚¹",""),"$","")," ",""),"")),
   IFERROR(--SUBSTITUTE(SUBSTITUTE(SUBSTITUTE(SUBSTITUTE(SUBSTITUTE(SUBSTITUTE(TRIM(G181),"Rs.",""),"INR",""),"₹",""),"â‚¹",""),"$","")," ",""),"")
)</f>
        <v>4215</v>
      </c>
      <c r="I181" s="1">
        <f t="shared" si="7"/>
        <v>4215</v>
      </c>
      <c r="J181" s="1" t="str">
        <f t="shared" si="8"/>
        <v>Nill</v>
      </c>
      <c r="K181" s="1" t="s">
        <v>12</v>
      </c>
      <c r="L181" s="1" t="s">
        <v>17</v>
      </c>
      <c r="M181" s="1" t="s">
        <v>76</v>
      </c>
      <c r="N181"/>
    </row>
    <row r="182" spans="1:14" x14ac:dyDescent="0.25">
      <c r="A182" s="1" t="s">
        <v>1046</v>
      </c>
      <c r="B182" s="1" t="s">
        <v>135</v>
      </c>
      <c r="C182" s="5">
        <v>45031</v>
      </c>
      <c r="D182" s="6">
        <f t="shared" si="6"/>
        <v>45031</v>
      </c>
      <c r="E182" s="1" t="s">
        <v>20</v>
      </c>
      <c r="F182" s="1" t="s">
        <v>44</v>
      </c>
      <c r="G182" s="1">
        <v>18733</v>
      </c>
      <c r="H182" s="1" cm="1">
        <f t="array" ref="H182">IF(TRIM(G182)="",
   MEDIAN(IFERROR(--SUBSTITUTE(SUBSTITUTE(SUBSTITUTE(SUBSTITUTE(SUBSTITUTE(SUBSTITUTE(G$2:G$747,"Rs.",""),"INR",""),"₹",""),"â‚¹",""),"$","")," ",""),"")),
   IFERROR(--SUBSTITUTE(SUBSTITUTE(SUBSTITUTE(SUBSTITUTE(SUBSTITUTE(SUBSTITUTE(TRIM(G182),"Rs.",""),"INR",""),"₹",""),"â‚¹",""),"$","")," ",""),"")
)</f>
        <v>18733</v>
      </c>
      <c r="I182" s="1" t="str">
        <f t="shared" si="7"/>
        <v>Nill</v>
      </c>
      <c r="J182" s="1">
        <f t="shared" si="8"/>
        <v>18733</v>
      </c>
      <c r="K182" s="1" t="s">
        <v>110</v>
      </c>
      <c r="L182" s="1" t="s">
        <v>13</v>
      </c>
      <c r="M182" s="1" t="s">
        <v>1253</v>
      </c>
      <c r="N182"/>
    </row>
    <row r="183" spans="1:14" x14ac:dyDescent="0.25">
      <c r="A183" s="1" t="s">
        <v>1169</v>
      </c>
      <c r="B183" s="1" t="s">
        <v>56</v>
      </c>
      <c r="C183" s="5">
        <v>45299</v>
      </c>
      <c r="D183" s="6">
        <f t="shared" si="6"/>
        <v>45299</v>
      </c>
      <c r="E183" s="1" t="s">
        <v>11</v>
      </c>
      <c r="F183" s="1" t="s">
        <v>69</v>
      </c>
      <c r="G183" s="1">
        <v>6666</v>
      </c>
      <c r="H183" s="1" cm="1">
        <f t="array" ref="H183">IF(TRIM(G183)="",
   MEDIAN(IFERROR(--SUBSTITUTE(SUBSTITUTE(SUBSTITUTE(SUBSTITUTE(SUBSTITUTE(SUBSTITUTE(G$2:G$747,"Rs.",""),"INR",""),"₹",""),"â‚¹",""),"$","")," ",""),"")),
   IFERROR(--SUBSTITUTE(SUBSTITUTE(SUBSTITUTE(SUBSTITUTE(SUBSTITUTE(SUBSTITUTE(TRIM(G183),"Rs.",""),"INR",""),"₹",""),"â‚¹",""),"$","")," ",""),"")
)</f>
        <v>6666</v>
      </c>
      <c r="I183" s="1">
        <f t="shared" si="7"/>
        <v>6666</v>
      </c>
      <c r="J183" s="1" t="str">
        <f t="shared" si="8"/>
        <v>Nill</v>
      </c>
      <c r="K183" s="1" t="s">
        <v>12</v>
      </c>
      <c r="L183" s="1" t="s">
        <v>97</v>
      </c>
      <c r="M183" s="1" t="s">
        <v>82</v>
      </c>
      <c r="N183"/>
    </row>
    <row r="184" spans="1:14" x14ac:dyDescent="0.25">
      <c r="A184" s="1" t="s">
        <v>569</v>
      </c>
      <c r="B184" s="1" t="s">
        <v>382</v>
      </c>
      <c r="C184" s="5">
        <v>44556</v>
      </c>
      <c r="D184" s="6">
        <f t="shared" si="6"/>
        <v>44556</v>
      </c>
      <c r="E184" s="1" t="s">
        <v>11</v>
      </c>
      <c r="F184" s="1" t="s">
        <v>171</v>
      </c>
      <c r="G184" s="1">
        <v>45093</v>
      </c>
      <c r="H184" s="1" cm="1">
        <f t="array" ref="H184">IF(TRIM(G184)="",
   MEDIAN(IFERROR(--SUBSTITUTE(SUBSTITUTE(SUBSTITUTE(SUBSTITUTE(SUBSTITUTE(SUBSTITUTE(G$2:G$747,"Rs.",""),"INR",""),"₹",""),"â‚¹",""),"$","")," ",""),"")),
   IFERROR(--SUBSTITUTE(SUBSTITUTE(SUBSTITUTE(SUBSTITUTE(SUBSTITUTE(SUBSTITUTE(TRIM(G184),"Rs.",""),"INR",""),"₹",""),"â‚¹",""),"$","")," ",""),"")
)</f>
        <v>45093</v>
      </c>
      <c r="I184" s="1">
        <f t="shared" si="7"/>
        <v>45093</v>
      </c>
      <c r="J184" s="1" t="str">
        <f t="shared" si="8"/>
        <v>Nill</v>
      </c>
      <c r="K184" s="1" t="s">
        <v>12</v>
      </c>
      <c r="L184" s="1" t="s">
        <v>167</v>
      </c>
      <c r="M184" s="1" t="s">
        <v>26</v>
      </c>
      <c r="N184"/>
    </row>
    <row r="185" spans="1:14" x14ac:dyDescent="0.25">
      <c r="A185" s="1" t="s">
        <v>560</v>
      </c>
      <c r="B185" s="1" t="s">
        <v>74</v>
      </c>
      <c r="C185" s="5">
        <v>45278</v>
      </c>
      <c r="D185" s="6">
        <f t="shared" si="6"/>
        <v>45278</v>
      </c>
      <c r="E185" s="1" t="s">
        <v>11</v>
      </c>
      <c r="F185" s="1" t="s">
        <v>171</v>
      </c>
      <c r="G185" s="1">
        <v>12484</v>
      </c>
      <c r="H185" s="1" cm="1">
        <f t="array" ref="H185">IF(TRIM(G185)="",
   MEDIAN(IFERROR(--SUBSTITUTE(SUBSTITUTE(SUBSTITUTE(SUBSTITUTE(SUBSTITUTE(SUBSTITUTE(G$2:G$747,"Rs.",""),"INR",""),"₹",""),"â‚¹",""),"$","")," ",""),"")),
   IFERROR(--SUBSTITUTE(SUBSTITUTE(SUBSTITUTE(SUBSTITUTE(SUBSTITUTE(SUBSTITUTE(TRIM(G185),"Rs.",""),"INR",""),"₹",""),"â‚¹",""),"$","")," ",""),"")
)</f>
        <v>12484</v>
      </c>
      <c r="I185" s="1">
        <f t="shared" si="7"/>
        <v>12484</v>
      </c>
      <c r="J185" s="1" t="str">
        <f t="shared" si="8"/>
        <v>Nill</v>
      </c>
      <c r="K185" s="1" t="s">
        <v>12</v>
      </c>
      <c r="L185" s="1" t="s">
        <v>81</v>
      </c>
      <c r="M185" s="1" t="s">
        <v>1253</v>
      </c>
      <c r="N185"/>
    </row>
    <row r="186" spans="1:14" x14ac:dyDescent="0.25">
      <c r="A186" s="1" t="s">
        <v>1029</v>
      </c>
      <c r="B186" s="1" t="s">
        <v>334</v>
      </c>
      <c r="C186" s="5">
        <v>45046</v>
      </c>
      <c r="D186" s="6">
        <f t="shared" si="6"/>
        <v>45046</v>
      </c>
      <c r="E186" s="1" t="s">
        <v>20</v>
      </c>
      <c r="F186" s="1" t="s">
        <v>52</v>
      </c>
      <c r="G186" s="1">
        <v>11168</v>
      </c>
      <c r="H186" s="1" cm="1">
        <f t="array" ref="H186">IF(TRIM(G186)="",
   MEDIAN(IFERROR(--SUBSTITUTE(SUBSTITUTE(SUBSTITUTE(SUBSTITUTE(SUBSTITUTE(SUBSTITUTE(G$2:G$747,"Rs.",""),"INR",""),"₹",""),"â‚¹",""),"$","")," ",""),"")),
   IFERROR(--SUBSTITUTE(SUBSTITUTE(SUBSTITUTE(SUBSTITUTE(SUBSTITUTE(SUBSTITUTE(TRIM(G186),"Rs.",""),"INR",""),"₹",""),"â‚¹",""),"$","")," ",""),"")
)</f>
        <v>11168</v>
      </c>
      <c r="I186" s="1" t="str">
        <f t="shared" si="7"/>
        <v>Nill</v>
      </c>
      <c r="J186" s="1">
        <f t="shared" si="8"/>
        <v>11168</v>
      </c>
      <c r="K186" s="1" t="s">
        <v>75</v>
      </c>
      <c r="L186" s="1" t="s">
        <v>198</v>
      </c>
      <c r="M186" s="1" t="s">
        <v>117</v>
      </c>
      <c r="N186"/>
    </row>
    <row r="187" spans="1:14" x14ac:dyDescent="0.25">
      <c r="A187" s="1" t="s">
        <v>23</v>
      </c>
      <c r="B187" s="1" t="s">
        <v>24</v>
      </c>
      <c r="D187" s="6" t="str">
        <f t="shared" si="6"/>
        <v>unknown</v>
      </c>
      <c r="E187" s="1" t="s">
        <v>11</v>
      </c>
      <c r="F187" s="1" t="s">
        <v>69</v>
      </c>
      <c r="G187" s="1">
        <v>6299</v>
      </c>
      <c r="H187" s="1" cm="1">
        <f t="array" ref="H187">IF(TRIM(G187)="",
   MEDIAN(IFERROR(--SUBSTITUTE(SUBSTITUTE(SUBSTITUTE(SUBSTITUTE(SUBSTITUTE(SUBSTITUTE(G$2:G$747,"Rs.",""),"INR",""),"₹",""),"â‚¹",""),"$","")," ",""),"")),
   IFERROR(--SUBSTITUTE(SUBSTITUTE(SUBSTITUTE(SUBSTITUTE(SUBSTITUTE(SUBSTITUTE(TRIM(G187),"Rs.",""),"INR",""),"₹",""),"â‚¹",""),"$","")," ",""),"")
)</f>
        <v>6299</v>
      </c>
      <c r="I187" s="1">
        <f t="shared" si="7"/>
        <v>6299</v>
      </c>
      <c r="J187" s="1" t="str">
        <f t="shared" si="8"/>
        <v>Nill</v>
      </c>
      <c r="K187" s="1" t="s">
        <v>25</v>
      </c>
      <c r="L187" s="1" t="s">
        <v>13</v>
      </c>
      <c r="M187" s="1" t="s">
        <v>26</v>
      </c>
      <c r="N187"/>
    </row>
    <row r="188" spans="1:14" x14ac:dyDescent="0.25">
      <c r="A188" s="1" t="s">
        <v>336</v>
      </c>
      <c r="B188" s="1" t="s">
        <v>148</v>
      </c>
      <c r="C188" s="5">
        <v>44473</v>
      </c>
      <c r="D188" s="6">
        <f t="shared" si="6"/>
        <v>44473</v>
      </c>
      <c r="E188" s="1" t="s">
        <v>11</v>
      </c>
      <c r="F188" s="1" t="s">
        <v>249</v>
      </c>
      <c r="G188" s="1">
        <v>4451</v>
      </c>
      <c r="H188" s="1" cm="1">
        <f t="array" ref="H188">IF(TRIM(G188)="",
   MEDIAN(IFERROR(--SUBSTITUTE(SUBSTITUTE(SUBSTITUTE(SUBSTITUTE(SUBSTITUTE(SUBSTITUTE(G$2:G$747,"Rs.",""),"INR",""),"₹",""),"â‚¹",""),"$","")," ",""),"")),
   IFERROR(--SUBSTITUTE(SUBSTITUTE(SUBSTITUTE(SUBSTITUTE(SUBSTITUTE(SUBSTITUTE(TRIM(G188),"Rs.",""),"INR",""),"₹",""),"â‚¹",""),"$","")," ",""),"")
)</f>
        <v>4451</v>
      </c>
      <c r="I188" s="1">
        <f t="shared" si="7"/>
        <v>4451</v>
      </c>
      <c r="J188" s="1" t="str">
        <f t="shared" si="8"/>
        <v>Nill</v>
      </c>
      <c r="K188" s="1" t="s">
        <v>25</v>
      </c>
      <c r="L188" s="1" t="s">
        <v>198</v>
      </c>
      <c r="M188" s="1" t="s">
        <v>1253</v>
      </c>
      <c r="N188"/>
    </row>
    <row r="189" spans="1:14" x14ac:dyDescent="0.25">
      <c r="A189" s="1" t="s">
        <v>50</v>
      </c>
      <c r="B189" s="1" t="s">
        <v>51</v>
      </c>
      <c r="C189" s="5">
        <v>45210</v>
      </c>
      <c r="D189" s="6">
        <f t="shared" si="6"/>
        <v>45210</v>
      </c>
      <c r="E189" s="1" t="s">
        <v>20</v>
      </c>
      <c r="F189" s="1" t="s">
        <v>52</v>
      </c>
      <c r="G189" s="1">
        <v>59543</v>
      </c>
      <c r="H189" s="1" cm="1">
        <f t="array" ref="H189">IF(TRIM(G189)="",
   MEDIAN(IFERROR(--SUBSTITUTE(SUBSTITUTE(SUBSTITUTE(SUBSTITUTE(SUBSTITUTE(SUBSTITUTE(G$2:G$747,"Rs.",""),"INR",""),"₹",""),"â‚¹",""),"$","")," ",""),"")),
   IFERROR(--SUBSTITUTE(SUBSTITUTE(SUBSTITUTE(SUBSTITUTE(SUBSTITUTE(SUBSTITUTE(TRIM(G189),"Rs.",""),"INR",""),"₹",""),"â‚¹",""),"$","")," ",""),"")
)</f>
        <v>59543</v>
      </c>
      <c r="I189" s="1" t="str">
        <f t="shared" si="7"/>
        <v>Nill</v>
      </c>
      <c r="J189" s="1">
        <f t="shared" si="8"/>
        <v>59543</v>
      </c>
      <c r="K189" s="1" t="s">
        <v>53</v>
      </c>
      <c r="L189" s="1" t="s">
        <v>40</v>
      </c>
      <c r="M189" s="1" t="s">
        <v>54</v>
      </c>
      <c r="N189"/>
    </row>
    <row r="190" spans="1:14" x14ac:dyDescent="0.25">
      <c r="A190" s="1" t="s">
        <v>916</v>
      </c>
      <c r="B190" s="1" t="s">
        <v>140</v>
      </c>
      <c r="C190" s="5">
        <v>44832</v>
      </c>
      <c r="D190" s="6">
        <f t="shared" si="6"/>
        <v>44832</v>
      </c>
      <c r="E190" s="1" t="s">
        <v>11</v>
      </c>
      <c r="F190" s="1" t="s">
        <v>249</v>
      </c>
      <c r="G190" s="1">
        <v>6725</v>
      </c>
      <c r="H190" s="1" cm="1">
        <f t="array" ref="H190">IF(TRIM(G190)="",
   MEDIAN(IFERROR(--SUBSTITUTE(SUBSTITUTE(SUBSTITUTE(SUBSTITUTE(SUBSTITUTE(SUBSTITUTE(G$2:G$747,"Rs.",""),"INR",""),"₹",""),"â‚¹",""),"$","")," ",""),"")),
   IFERROR(--SUBSTITUTE(SUBSTITUTE(SUBSTITUTE(SUBSTITUTE(SUBSTITUTE(SUBSTITUTE(TRIM(G190),"Rs.",""),"INR",""),"₹",""),"â‚¹",""),"$","")," ",""),"")
)</f>
        <v>6725</v>
      </c>
      <c r="I190" s="1">
        <f t="shared" si="7"/>
        <v>6725</v>
      </c>
      <c r="J190" s="1" t="str">
        <f t="shared" si="8"/>
        <v>Nill</v>
      </c>
      <c r="K190" s="1" t="s">
        <v>204</v>
      </c>
      <c r="L190" s="1" t="s">
        <v>299</v>
      </c>
      <c r="M190" s="1" t="s">
        <v>1253</v>
      </c>
      <c r="N190"/>
    </row>
    <row r="191" spans="1:14" x14ac:dyDescent="0.25">
      <c r="A191" s="1" t="s">
        <v>193</v>
      </c>
      <c r="B191" s="1" t="s">
        <v>51</v>
      </c>
      <c r="C191" s="5">
        <v>45303</v>
      </c>
      <c r="D191" s="6">
        <f t="shared" si="6"/>
        <v>45303</v>
      </c>
      <c r="E191" s="1" t="s">
        <v>11</v>
      </c>
      <c r="F191" s="1" t="s">
        <v>158</v>
      </c>
      <c r="G191" s="1">
        <v>3110</v>
      </c>
      <c r="H191" s="1" cm="1">
        <f t="array" ref="H191">IF(TRIM(G191)="",
   MEDIAN(IFERROR(--SUBSTITUTE(SUBSTITUTE(SUBSTITUTE(SUBSTITUTE(SUBSTITUTE(SUBSTITUTE(G$2:G$747,"Rs.",""),"INR",""),"₹",""),"â‚¹",""),"$","")," ",""),"")),
   IFERROR(--SUBSTITUTE(SUBSTITUTE(SUBSTITUTE(SUBSTITUTE(SUBSTITUTE(SUBSTITUTE(TRIM(G191),"Rs.",""),"INR",""),"₹",""),"â‚¹",""),"$","")," ",""),"")
)</f>
        <v>3110</v>
      </c>
      <c r="I191" s="1">
        <f t="shared" si="7"/>
        <v>3110</v>
      </c>
      <c r="J191" s="1" t="str">
        <f t="shared" si="8"/>
        <v>Nill</v>
      </c>
      <c r="K191" s="1" t="s">
        <v>25</v>
      </c>
      <c r="L191" s="1" t="s">
        <v>299</v>
      </c>
      <c r="M191" s="1" t="s">
        <v>88</v>
      </c>
      <c r="N191"/>
    </row>
    <row r="192" spans="1:14" x14ac:dyDescent="0.25">
      <c r="A192" s="1" t="s">
        <v>33</v>
      </c>
      <c r="B192" s="1" t="s">
        <v>34</v>
      </c>
      <c r="C192" s="5">
        <v>45600</v>
      </c>
      <c r="D192" s="6">
        <f t="shared" si="6"/>
        <v>45600</v>
      </c>
      <c r="E192" s="1" t="s">
        <v>11</v>
      </c>
      <c r="F192" s="1" t="s">
        <v>69</v>
      </c>
      <c r="G192" s="1">
        <v>4168</v>
      </c>
      <c r="H192" s="1" cm="1">
        <f t="array" ref="H192">IF(TRIM(G192)="",
   MEDIAN(IFERROR(--SUBSTITUTE(SUBSTITUTE(SUBSTITUTE(SUBSTITUTE(SUBSTITUTE(SUBSTITUTE(G$2:G$747,"Rs.",""),"INR",""),"₹",""),"â‚¹",""),"$","")," ",""),"")),
   IFERROR(--SUBSTITUTE(SUBSTITUTE(SUBSTITUTE(SUBSTITUTE(SUBSTITUTE(SUBSTITUTE(TRIM(G192),"Rs.",""),"INR",""),"₹",""),"â‚¹",""),"$","")," ",""),"")
)</f>
        <v>4168</v>
      </c>
      <c r="I192" s="1">
        <f t="shared" si="7"/>
        <v>4168</v>
      </c>
      <c r="J192" s="1" t="str">
        <f t="shared" si="8"/>
        <v>Nill</v>
      </c>
      <c r="K192" s="1" t="s">
        <v>1253</v>
      </c>
      <c r="L192" s="1" t="s">
        <v>1252</v>
      </c>
      <c r="M192" s="1" t="s">
        <v>35</v>
      </c>
      <c r="N192"/>
    </row>
    <row r="193" spans="1:14" x14ac:dyDescent="0.25">
      <c r="A193" s="1" t="s">
        <v>486</v>
      </c>
      <c r="B193" s="1" t="s">
        <v>487</v>
      </c>
      <c r="C193" s="1" t="s">
        <v>488</v>
      </c>
      <c r="D193" s="6">
        <f t="shared" si="6"/>
        <v>45640</v>
      </c>
      <c r="E193" s="1" t="s">
        <v>11</v>
      </c>
      <c r="F193" s="1" t="s">
        <v>171</v>
      </c>
      <c r="G193" s="1" t="s">
        <v>489</v>
      </c>
      <c r="H193" s="1" cm="1">
        <f t="array" ref="H193">IF(TRIM(G193)="",
   MEDIAN(IFERROR(--SUBSTITUTE(SUBSTITUTE(SUBSTITUTE(SUBSTITUTE(SUBSTITUTE(SUBSTITUTE(G$2:G$747,"Rs.",""),"INR",""),"₹",""),"â‚¹",""),"$","")," ",""),"")),
   IFERROR(--SUBSTITUTE(SUBSTITUTE(SUBSTITUTE(SUBSTITUTE(SUBSTITUTE(SUBSTITUTE(TRIM(G193),"Rs.",""),"INR",""),"₹",""),"â‚¹",""),"$","")," ",""),"")
)</f>
        <v>5582</v>
      </c>
      <c r="I193" s="1">
        <f t="shared" si="7"/>
        <v>5582</v>
      </c>
      <c r="J193" s="1" t="str">
        <f t="shared" si="8"/>
        <v>Nill</v>
      </c>
      <c r="K193" s="1" t="s">
        <v>53</v>
      </c>
      <c r="L193" s="1" t="s">
        <v>13</v>
      </c>
      <c r="M193" s="1" t="s">
        <v>241</v>
      </c>
      <c r="N193"/>
    </row>
    <row r="194" spans="1:14" x14ac:dyDescent="0.25">
      <c r="A194" s="1" t="s">
        <v>1232</v>
      </c>
      <c r="B194" s="1" t="s">
        <v>226</v>
      </c>
      <c r="C194" s="5">
        <v>45609</v>
      </c>
      <c r="D194" s="6">
        <f t="shared" ref="D194:D257" si="9">IF(ISBLANK(C194),("unknown"),IF(ISNUMBER(C194),C194,DATE(RIGHT(C194,4),LEFT(C194,2),MID(C194,4,2))))</f>
        <v>45609</v>
      </c>
      <c r="E194" s="1" t="s">
        <v>11</v>
      </c>
      <c r="F194" s="1" t="s">
        <v>85</v>
      </c>
      <c r="G194" s="1">
        <v>5316</v>
      </c>
      <c r="H194" s="1" cm="1">
        <f t="array" ref="H194">IF(TRIM(G194)="",
   MEDIAN(IFERROR(--SUBSTITUTE(SUBSTITUTE(SUBSTITUTE(SUBSTITUTE(SUBSTITUTE(SUBSTITUTE(G$2:G$747,"Rs.",""),"INR",""),"₹",""),"â‚¹",""),"$","")," ",""),"")),
   IFERROR(--SUBSTITUTE(SUBSTITUTE(SUBSTITUTE(SUBSTITUTE(SUBSTITUTE(SUBSTITUTE(TRIM(G194),"Rs.",""),"INR",""),"₹",""),"â‚¹",""),"$","")," ",""),"")
)</f>
        <v>5316</v>
      </c>
      <c r="I194" s="1">
        <f t="shared" ref="I194:I257" si="10">IF(E194="Expense",H194,"Nill")</f>
        <v>5316</v>
      </c>
      <c r="J194" s="1" t="str">
        <f t="shared" ref="J194:J257" si="11">IF(E194="Income",H194,"Nill")</f>
        <v>Nill</v>
      </c>
      <c r="K194" s="1" t="s">
        <v>87</v>
      </c>
      <c r="L194" s="1" t="s">
        <v>127</v>
      </c>
      <c r="M194" s="1" t="s">
        <v>70</v>
      </c>
      <c r="N194"/>
    </row>
    <row r="195" spans="1:14" x14ac:dyDescent="0.25">
      <c r="A195" s="1" t="s">
        <v>853</v>
      </c>
      <c r="B195" s="1" t="s">
        <v>10</v>
      </c>
      <c r="C195" s="1" t="s">
        <v>854</v>
      </c>
      <c r="D195" s="6">
        <f t="shared" si="9"/>
        <v>45197</v>
      </c>
      <c r="E195" s="1" t="s">
        <v>11</v>
      </c>
      <c r="F195" s="1" t="s">
        <v>69</v>
      </c>
      <c r="G195" s="1">
        <v>5045</v>
      </c>
      <c r="H195" s="1" cm="1">
        <f t="array" ref="H195">IF(TRIM(G195)="",
   MEDIAN(IFERROR(--SUBSTITUTE(SUBSTITUTE(SUBSTITUTE(SUBSTITUTE(SUBSTITUTE(SUBSTITUTE(G$2:G$747,"Rs.",""),"INR",""),"₹",""),"â‚¹",""),"$","")," ",""),"")),
   IFERROR(--SUBSTITUTE(SUBSTITUTE(SUBSTITUTE(SUBSTITUTE(SUBSTITUTE(SUBSTITUTE(TRIM(G195),"Rs.",""),"INR",""),"₹",""),"â‚¹",""),"$","")," ",""),"")
)</f>
        <v>5045</v>
      </c>
      <c r="I195" s="1">
        <f t="shared" si="10"/>
        <v>5045</v>
      </c>
      <c r="J195" s="1" t="str">
        <f t="shared" si="11"/>
        <v>Nill</v>
      </c>
      <c r="K195" s="1" t="s">
        <v>138</v>
      </c>
      <c r="L195" s="1" t="s">
        <v>299</v>
      </c>
      <c r="M195" s="1" t="s">
        <v>54</v>
      </c>
      <c r="N195"/>
    </row>
    <row r="196" spans="1:14" x14ac:dyDescent="0.25">
      <c r="A196" s="1" t="s">
        <v>454</v>
      </c>
      <c r="B196" s="1" t="s">
        <v>455</v>
      </c>
      <c r="C196" s="5">
        <v>45371</v>
      </c>
      <c r="D196" s="6">
        <f t="shared" si="9"/>
        <v>45371</v>
      </c>
      <c r="E196" s="1" t="s">
        <v>11</v>
      </c>
      <c r="F196" s="1" t="s">
        <v>465</v>
      </c>
      <c r="G196" s="1">
        <v>2603</v>
      </c>
      <c r="H196" s="1" cm="1">
        <f t="array" ref="H196">IF(TRIM(G196)="",
   MEDIAN(IFERROR(--SUBSTITUTE(SUBSTITUTE(SUBSTITUTE(SUBSTITUTE(SUBSTITUTE(SUBSTITUTE(G$2:G$747,"Rs.",""),"INR",""),"₹",""),"â‚¹",""),"$","")," ",""),"")),
   IFERROR(--SUBSTITUTE(SUBSTITUTE(SUBSTITUTE(SUBSTITUTE(SUBSTITUTE(SUBSTITUTE(TRIM(G196),"Rs.",""),"INR",""),"₹",""),"â‚¹",""),"$","")," ",""),"")
)</f>
        <v>2603</v>
      </c>
      <c r="I196" s="1">
        <f t="shared" si="10"/>
        <v>2603</v>
      </c>
      <c r="J196" s="1" t="str">
        <f t="shared" si="11"/>
        <v>Nill</v>
      </c>
      <c r="K196" s="1" t="s">
        <v>204</v>
      </c>
      <c r="L196" s="1" t="s">
        <v>217</v>
      </c>
      <c r="M196" s="1" t="s">
        <v>241</v>
      </c>
      <c r="N196"/>
    </row>
    <row r="197" spans="1:14" x14ac:dyDescent="0.25">
      <c r="A197" s="1" t="s">
        <v>644</v>
      </c>
      <c r="B197" s="1" t="s">
        <v>419</v>
      </c>
      <c r="C197" s="1" t="s">
        <v>645</v>
      </c>
      <c r="D197" s="6">
        <f t="shared" si="9"/>
        <v>44209</v>
      </c>
      <c r="E197" s="1" t="s">
        <v>11</v>
      </c>
      <c r="F197" s="1" t="s">
        <v>171</v>
      </c>
      <c r="H197" s="1" cm="1">
        <f t="array" ref="H197">IF(TRIM(G197)="",
   MEDIAN(IFERROR(--SUBSTITUTE(SUBSTITUTE(SUBSTITUTE(SUBSTITUTE(SUBSTITUTE(SUBSTITUTE(G$2:G$747,"Rs.",""),"INR",""),"₹",""),"â‚¹",""),"$","")," ",""),"")),
   IFERROR(--SUBSTITUTE(SUBSTITUTE(SUBSTITUTE(SUBSTITUTE(SUBSTITUTE(SUBSTITUTE(TRIM(G197),"Rs.",""),"INR",""),"₹",""),"â‚¹",""),"$","")," ",""),"")
)</f>
        <v>5935</v>
      </c>
      <c r="I197" s="1">
        <f t="shared" si="10"/>
        <v>5935</v>
      </c>
      <c r="J197" s="1" t="str">
        <f t="shared" si="11"/>
        <v>Nill</v>
      </c>
      <c r="K197" s="1" t="s">
        <v>138</v>
      </c>
      <c r="L197" s="1" t="s">
        <v>299</v>
      </c>
      <c r="M197" s="1" t="s">
        <v>1253</v>
      </c>
      <c r="N197"/>
    </row>
    <row r="198" spans="1:14" x14ac:dyDescent="0.25">
      <c r="A198" s="1" t="s">
        <v>414</v>
      </c>
      <c r="B198" s="1" t="s">
        <v>340</v>
      </c>
      <c r="C198" s="5">
        <v>44261</v>
      </c>
      <c r="D198" s="6">
        <f t="shared" si="9"/>
        <v>44261</v>
      </c>
      <c r="E198" s="1" t="s">
        <v>11</v>
      </c>
      <c r="F198" s="1" t="s">
        <v>85</v>
      </c>
      <c r="G198" s="1">
        <v>2985</v>
      </c>
      <c r="H198" s="1" cm="1">
        <f t="array" ref="H198">IF(TRIM(G198)="",
   MEDIAN(IFERROR(--SUBSTITUTE(SUBSTITUTE(SUBSTITUTE(SUBSTITUTE(SUBSTITUTE(SUBSTITUTE(G$2:G$747,"Rs.",""),"INR",""),"₹",""),"â‚¹",""),"$","")," ",""),"")),
   IFERROR(--SUBSTITUTE(SUBSTITUTE(SUBSTITUTE(SUBSTITUTE(SUBSTITUTE(SUBSTITUTE(TRIM(G198),"Rs.",""),"INR",""),"₹",""),"â‚¹",""),"$","")," ",""),"")
)</f>
        <v>2985</v>
      </c>
      <c r="I198" s="1">
        <f t="shared" si="10"/>
        <v>2985</v>
      </c>
      <c r="J198" s="1" t="str">
        <f t="shared" si="11"/>
        <v>Nill</v>
      </c>
      <c r="K198" s="1" t="s">
        <v>138</v>
      </c>
      <c r="L198" s="1" t="s">
        <v>127</v>
      </c>
      <c r="M198" s="1" t="s">
        <v>70</v>
      </c>
      <c r="N198"/>
    </row>
    <row r="199" spans="1:14" x14ac:dyDescent="0.25">
      <c r="A199" s="1" t="s">
        <v>720</v>
      </c>
      <c r="B199" s="1" t="s">
        <v>513</v>
      </c>
      <c r="C199" s="5">
        <v>44879</v>
      </c>
      <c r="D199" s="6">
        <f t="shared" si="9"/>
        <v>44879</v>
      </c>
      <c r="E199" s="1" t="s">
        <v>11</v>
      </c>
      <c r="F199" s="1" t="s">
        <v>171</v>
      </c>
      <c r="G199" s="1">
        <v>4981</v>
      </c>
      <c r="H199" s="1" cm="1">
        <f t="array" ref="H199">IF(TRIM(G199)="",
   MEDIAN(IFERROR(--SUBSTITUTE(SUBSTITUTE(SUBSTITUTE(SUBSTITUTE(SUBSTITUTE(SUBSTITUTE(G$2:G$747,"Rs.",""),"INR",""),"₹",""),"â‚¹",""),"$","")," ",""),"")),
   IFERROR(--SUBSTITUTE(SUBSTITUTE(SUBSTITUTE(SUBSTITUTE(SUBSTITUTE(SUBSTITUTE(TRIM(G199),"Rs.",""),"INR",""),"₹",""),"â‚¹",""),"$","")," ",""),"")
)</f>
        <v>4981</v>
      </c>
      <c r="I199" s="1">
        <f t="shared" si="10"/>
        <v>4981</v>
      </c>
      <c r="J199" s="1" t="str">
        <f t="shared" si="11"/>
        <v>Nill</v>
      </c>
      <c r="K199" s="1" t="s">
        <v>1253</v>
      </c>
      <c r="L199" s="1" t="s">
        <v>97</v>
      </c>
      <c r="M199" s="1" t="s">
        <v>1253</v>
      </c>
      <c r="N199"/>
    </row>
    <row r="200" spans="1:14" x14ac:dyDescent="0.25">
      <c r="A200" s="1" t="s">
        <v>941</v>
      </c>
      <c r="B200" s="1" t="s">
        <v>135</v>
      </c>
      <c r="C200" s="5">
        <v>44627</v>
      </c>
      <c r="D200" s="6">
        <f t="shared" si="9"/>
        <v>44627</v>
      </c>
      <c r="E200" s="1" t="s">
        <v>20</v>
      </c>
      <c r="F200" s="1" t="s">
        <v>52</v>
      </c>
      <c r="G200" s="1" t="s">
        <v>942</v>
      </c>
      <c r="H200" s="1" cm="1">
        <f t="array" ref="H200">IF(TRIM(G200)="",
   MEDIAN(IFERROR(--SUBSTITUTE(SUBSTITUTE(SUBSTITUTE(SUBSTITUTE(SUBSTITUTE(SUBSTITUTE(G$2:G$747,"Rs.",""),"INR",""),"₹",""),"â‚¹",""),"$","")," ",""),"")),
   IFERROR(--SUBSTITUTE(SUBSTITUTE(SUBSTITUTE(SUBSTITUTE(SUBSTITUTE(SUBSTITUTE(TRIM(G200),"Rs.",""),"INR",""),"₹",""),"â‚¹",""),"$","")," ",""),"")
)</f>
        <v>32906</v>
      </c>
      <c r="I200" s="1" t="str">
        <f t="shared" si="10"/>
        <v>Nill</v>
      </c>
      <c r="J200" s="1">
        <f t="shared" si="11"/>
        <v>32906</v>
      </c>
      <c r="K200" s="1" t="s">
        <v>87</v>
      </c>
      <c r="L200" s="1" t="s">
        <v>217</v>
      </c>
      <c r="M200" s="1" t="s">
        <v>54</v>
      </c>
      <c r="N200"/>
    </row>
    <row r="201" spans="1:14" x14ac:dyDescent="0.25">
      <c r="A201" s="1" t="s">
        <v>1042</v>
      </c>
      <c r="B201" s="1" t="s">
        <v>16</v>
      </c>
      <c r="C201" s="5">
        <v>45332</v>
      </c>
      <c r="D201" s="6">
        <f t="shared" si="9"/>
        <v>45332</v>
      </c>
      <c r="E201" s="1" t="s">
        <v>11</v>
      </c>
      <c r="F201" s="1" t="s">
        <v>759</v>
      </c>
      <c r="G201" s="1">
        <v>3444</v>
      </c>
      <c r="H201" s="1" cm="1">
        <f t="array" ref="H201">IF(TRIM(G201)="",
   MEDIAN(IFERROR(--SUBSTITUTE(SUBSTITUTE(SUBSTITUTE(SUBSTITUTE(SUBSTITUTE(SUBSTITUTE(G$2:G$747,"Rs.",""),"INR",""),"₹",""),"â‚¹",""),"$","")," ",""),"")),
   IFERROR(--SUBSTITUTE(SUBSTITUTE(SUBSTITUTE(SUBSTITUTE(SUBSTITUTE(SUBSTITUTE(TRIM(G201),"Rs.",""),"INR",""),"₹",""),"â‚¹",""),"$","")," ",""),"")
)</f>
        <v>3444</v>
      </c>
      <c r="I201" s="1">
        <f t="shared" si="10"/>
        <v>3444</v>
      </c>
      <c r="J201" s="1" t="str">
        <f t="shared" si="11"/>
        <v>Nill</v>
      </c>
      <c r="K201" s="1" t="s">
        <v>12</v>
      </c>
      <c r="L201" s="1" t="s">
        <v>13</v>
      </c>
      <c r="M201" s="1" t="s">
        <v>241</v>
      </c>
      <c r="N201"/>
    </row>
    <row r="202" spans="1:14" x14ac:dyDescent="0.25">
      <c r="A202" s="1" t="s">
        <v>1011</v>
      </c>
      <c r="B202" s="1" t="s">
        <v>37</v>
      </c>
      <c r="C202" s="5">
        <v>45495</v>
      </c>
      <c r="D202" s="6">
        <f t="shared" si="9"/>
        <v>45495</v>
      </c>
      <c r="E202" s="1" t="s">
        <v>11</v>
      </c>
      <c r="F202" s="1" t="s">
        <v>69</v>
      </c>
      <c r="G202" s="1">
        <v>3054</v>
      </c>
      <c r="H202" s="1" cm="1">
        <f t="array" ref="H202">IF(TRIM(G202)="",
   MEDIAN(IFERROR(--SUBSTITUTE(SUBSTITUTE(SUBSTITUTE(SUBSTITUTE(SUBSTITUTE(SUBSTITUTE(G$2:G$747,"Rs.",""),"INR",""),"₹",""),"â‚¹",""),"$","")," ",""),"")),
   IFERROR(--SUBSTITUTE(SUBSTITUTE(SUBSTITUTE(SUBSTITUTE(SUBSTITUTE(SUBSTITUTE(TRIM(G202),"Rs.",""),"INR",""),"₹",""),"â‚¹",""),"$","")," ",""),"")
)</f>
        <v>3054</v>
      </c>
      <c r="I202" s="1">
        <f t="shared" si="10"/>
        <v>3054</v>
      </c>
      <c r="J202" s="1" t="str">
        <f t="shared" si="11"/>
        <v>Nill</v>
      </c>
      <c r="K202" s="1" t="s">
        <v>204</v>
      </c>
      <c r="L202" s="1" t="s">
        <v>167</v>
      </c>
      <c r="M202" s="1" t="s">
        <v>35</v>
      </c>
      <c r="N202"/>
    </row>
    <row r="203" spans="1:14" x14ac:dyDescent="0.25">
      <c r="A203" s="1" t="s">
        <v>168</v>
      </c>
      <c r="B203" s="1" t="s">
        <v>169</v>
      </c>
      <c r="C203" s="1" t="s">
        <v>170</v>
      </c>
      <c r="D203" s="6">
        <f t="shared" si="9"/>
        <v>45031</v>
      </c>
      <c r="E203" s="1" t="s">
        <v>11</v>
      </c>
      <c r="F203" s="1" t="s">
        <v>171</v>
      </c>
      <c r="G203" s="1">
        <v>23776</v>
      </c>
      <c r="H203" s="1" cm="1">
        <f t="array" ref="H203">IF(TRIM(G203)="",
   MEDIAN(IFERROR(--SUBSTITUTE(SUBSTITUTE(SUBSTITUTE(SUBSTITUTE(SUBSTITUTE(SUBSTITUTE(G$2:G$747,"Rs.",""),"INR",""),"₹",""),"â‚¹",""),"$","")," ",""),"")),
   IFERROR(--SUBSTITUTE(SUBSTITUTE(SUBSTITUTE(SUBSTITUTE(SUBSTITUTE(SUBSTITUTE(TRIM(G203),"Rs.",""),"INR",""),"₹",""),"â‚¹",""),"$","")," ",""),"")
)</f>
        <v>23776</v>
      </c>
      <c r="I203" s="1">
        <f t="shared" si="10"/>
        <v>23776</v>
      </c>
      <c r="J203" s="1" t="str">
        <f t="shared" si="11"/>
        <v>Nill</v>
      </c>
      <c r="K203" s="1" t="s">
        <v>172</v>
      </c>
      <c r="L203" s="1" t="s">
        <v>81</v>
      </c>
      <c r="M203" s="1" t="s">
        <v>88</v>
      </c>
      <c r="N203"/>
    </row>
    <row r="204" spans="1:14" x14ac:dyDescent="0.25">
      <c r="A204" s="1" t="s">
        <v>791</v>
      </c>
      <c r="B204" s="1" t="s">
        <v>484</v>
      </c>
      <c r="C204" s="5">
        <v>45595</v>
      </c>
      <c r="D204" s="6">
        <f t="shared" si="9"/>
        <v>45595</v>
      </c>
      <c r="E204" s="1" t="s">
        <v>11</v>
      </c>
      <c r="F204" s="1" t="s">
        <v>69</v>
      </c>
      <c r="G204" s="1">
        <v>3913</v>
      </c>
      <c r="H204" s="1" cm="1">
        <f t="array" ref="H204">IF(TRIM(G204)="",
   MEDIAN(IFERROR(--SUBSTITUTE(SUBSTITUTE(SUBSTITUTE(SUBSTITUTE(SUBSTITUTE(SUBSTITUTE(G$2:G$747,"Rs.",""),"INR",""),"₹",""),"â‚¹",""),"$","")," ",""),"")),
   IFERROR(--SUBSTITUTE(SUBSTITUTE(SUBSTITUTE(SUBSTITUTE(SUBSTITUTE(SUBSTITUTE(TRIM(G204),"Rs.",""),"INR",""),"₹",""),"â‚¹",""),"$","")," ",""),"")
)</f>
        <v>3913</v>
      </c>
      <c r="I204" s="1">
        <f t="shared" si="10"/>
        <v>3913</v>
      </c>
      <c r="J204" s="1" t="str">
        <f t="shared" si="11"/>
        <v>Nill</v>
      </c>
      <c r="K204" s="1" t="s">
        <v>31</v>
      </c>
      <c r="L204" s="1" t="s">
        <v>17</v>
      </c>
      <c r="M204" s="1" t="s">
        <v>117</v>
      </c>
      <c r="N204"/>
    </row>
    <row r="205" spans="1:14" x14ac:dyDescent="0.25">
      <c r="A205" s="1" t="s">
        <v>1064</v>
      </c>
      <c r="B205" s="1" t="s">
        <v>43</v>
      </c>
      <c r="C205" s="5">
        <v>45497</v>
      </c>
      <c r="D205" s="6">
        <f t="shared" si="9"/>
        <v>45497</v>
      </c>
      <c r="E205" s="1" t="s">
        <v>11</v>
      </c>
      <c r="F205" s="1" t="s">
        <v>104</v>
      </c>
      <c r="G205" s="1">
        <v>4462</v>
      </c>
      <c r="H205" s="1" cm="1">
        <f t="array" ref="H205">IF(TRIM(G205)="",
   MEDIAN(IFERROR(--SUBSTITUTE(SUBSTITUTE(SUBSTITUTE(SUBSTITUTE(SUBSTITUTE(SUBSTITUTE(G$2:G$747,"Rs.",""),"INR",""),"₹",""),"â‚¹",""),"$","")," ",""),"")),
   IFERROR(--SUBSTITUTE(SUBSTITUTE(SUBSTITUTE(SUBSTITUTE(SUBSTITUTE(SUBSTITUTE(TRIM(G205),"Rs.",""),"INR",""),"₹",""),"â‚¹",""),"$","")," ",""),"")
)</f>
        <v>4462</v>
      </c>
      <c r="I205" s="1">
        <f t="shared" si="10"/>
        <v>4462</v>
      </c>
      <c r="J205" s="1" t="str">
        <f t="shared" si="11"/>
        <v>Nill</v>
      </c>
      <c r="K205" s="1" t="s">
        <v>25</v>
      </c>
      <c r="L205" s="1" t="s">
        <v>13</v>
      </c>
      <c r="M205" s="1" t="s">
        <v>179</v>
      </c>
      <c r="N205"/>
    </row>
    <row r="206" spans="1:14" x14ac:dyDescent="0.25">
      <c r="A206" s="1" t="s">
        <v>891</v>
      </c>
      <c r="B206" s="1" t="s">
        <v>51</v>
      </c>
      <c r="C206" s="5">
        <v>45229</v>
      </c>
      <c r="D206" s="6">
        <f t="shared" si="9"/>
        <v>45229</v>
      </c>
      <c r="E206" s="1" t="s">
        <v>11</v>
      </c>
      <c r="F206" s="1" t="s">
        <v>69</v>
      </c>
      <c r="H206" s="1" cm="1">
        <f t="array" ref="H206">IF(TRIM(G206)="",
   MEDIAN(IFERROR(--SUBSTITUTE(SUBSTITUTE(SUBSTITUTE(SUBSTITUTE(SUBSTITUTE(SUBSTITUTE(G$2:G$747,"Rs.",""),"INR",""),"₹",""),"â‚¹",""),"$","")," ",""),"")),
   IFERROR(--SUBSTITUTE(SUBSTITUTE(SUBSTITUTE(SUBSTITUTE(SUBSTITUTE(SUBSTITUTE(TRIM(G206),"Rs.",""),"INR",""),"₹",""),"â‚¹",""),"$","")," ",""),"")
)</f>
        <v>5935</v>
      </c>
      <c r="I206" s="1">
        <f t="shared" si="10"/>
        <v>5935</v>
      </c>
      <c r="J206" s="1" t="str">
        <f t="shared" si="11"/>
        <v>Nill</v>
      </c>
      <c r="K206" s="1" t="s">
        <v>172</v>
      </c>
      <c r="L206" s="1" t="s">
        <v>97</v>
      </c>
      <c r="M206" s="1" t="s">
        <v>113</v>
      </c>
      <c r="N206"/>
    </row>
    <row r="207" spans="1:14" x14ac:dyDescent="0.25">
      <c r="A207" s="1" t="s">
        <v>661</v>
      </c>
      <c r="B207" s="1" t="s">
        <v>662</v>
      </c>
      <c r="C207" s="5">
        <v>44334</v>
      </c>
      <c r="D207" s="6">
        <f t="shared" si="9"/>
        <v>44334</v>
      </c>
      <c r="E207" s="1" t="s">
        <v>11</v>
      </c>
      <c r="F207" s="1" t="s">
        <v>69</v>
      </c>
      <c r="G207" s="1" t="s">
        <v>663</v>
      </c>
      <c r="H207" s="1" cm="1">
        <f t="array" ref="H207">IF(TRIM(G207)="",
   MEDIAN(IFERROR(--SUBSTITUTE(SUBSTITUTE(SUBSTITUTE(SUBSTITUTE(SUBSTITUTE(SUBSTITUTE(G$2:G$747,"Rs.",""),"INR",""),"₹",""),"â‚¹",""),"$","")," ",""),"")),
   IFERROR(--SUBSTITUTE(SUBSTITUTE(SUBSTITUTE(SUBSTITUTE(SUBSTITUTE(SUBSTITUTE(TRIM(G207),"Rs.",""),"INR",""),"₹",""),"â‚¹",""),"$","")," ",""),"")
)</f>
        <v>5042</v>
      </c>
      <c r="I207" s="1">
        <f t="shared" si="10"/>
        <v>5042</v>
      </c>
      <c r="J207" s="1" t="str">
        <f t="shared" si="11"/>
        <v>Nill</v>
      </c>
      <c r="K207" s="1" t="s">
        <v>204</v>
      </c>
      <c r="L207" s="1" t="s">
        <v>97</v>
      </c>
      <c r="M207" s="1" t="s">
        <v>190</v>
      </c>
      <c r="N207"/>
    </row>
    <row r="208" spans="1:14" x14ac:dyDescent="0.25">
      <c r="A208" s="1" t="s">
        <v>804</v>
      </c>
      <c r="B208" s="1" t="s">
        <v>428</v>
      </c>
      <c r="C208" s="5">
        <v>45595</v>
      </c>
      <c r="D208" s="6">
        <f t="shared" si="9"/>
        <v>45595</v>
      </c>
      <c r="E208" s="1" t="s">
        <v>11</v>
      </c>
      <c r="F208" s="1" t="s">
        <v>1253</v>
      </c>
      <c r="G208" s="1" t="s">
        <v>805</v>
      </c>
      <c r="H208" s="1" cm="1">
        <f t="array" ref="H208">IF(TRIM(G208)="",
   MEDIAN(IFERROR(--SUBSTITUTE(SUBSTITUTE(SUBSTITUTE(SUBSTITUTE(SUBSTITUTE(SUBSTITUTE(G$2:G$747,"Rs.",""),"INR",""),"₹",""),"â‚¹",""),"$","")," ",""),"")),
   IFERROR(--SUBSTITUTE(SUBSTITUTE(SUBSTITUTE(SUBSTITUTE(SUBSTITUTE(SUBSTITUTE(TRIM(G208),"Rs.",""),"INR",""),"₹",""),"â‚¹",""),"$","")," ",""),"")
)</f>
        <v>6879</v>
      </c>
      <c r="I208" s="1">
        <f t="shared" si="10"/>
        <v>6879</v>
      </c>
      <c r="J208" s="1" t="str">
        <f t="shared" si="11"/>
        <v>Nill</v>
      </c>
      <c r="K208" s="1" t="s">
        <v>138</v>
      </c>
      <c r="L208" s="1" t="s">
        <v>40</v>
      </c>
      <c r="M208" s="1" t="s">
        <v>14</v>
      </c>
      <c r="N208"/>
    </row>
    <row r="209" spans="1:14" x14ac:dyDescent="0.25">
      <c r="A209" s="1" t="s">
        <v>911</v>
      </c>
      <c r="B209" s="1" t="s">
        <v>450</v>
      </c>
      <c r="C209" s="5">
        <v>44292</v>
      </c>
      <c r="D209" s="6">
        <f t="shared" si="9"/>
        <v>44292</v>
      </c>
      <c r="E209" s="1" t="s">
        <v>11</v>
      </c>
      <c r="F209" s="1" t="s">
        <v>69</v>
      </c>
      <c r="G209" s="1">
        <v>4051</v>
      </c>
      <c r="H209" s="1" cm="1">
        <f t="array" ref="H209">IF(TRIM(G209)="",
   MEDIAN(IFERROR(--SUBSTITUTE(SUBSTITUTE(SUBSTITUTE(SUBSTITUTE(SUBSTITUTE(SUBSTITUTE(G$2:G$747,"Rs.",""),"INR",""),"₹",""),"â‚¹",""),"$","")," ",""),"")),
   IFERROR(--SUBSTITUTE(SUBSTITUTE(SUBSTITUTE(SUBSTITUTE(SUBSTITUTE(SUBSTITUTE(TRIM(G209),"Rs.",""),"INR",""),"₹",""),"â‚¹",""),"$","")," ",""),"")
)</f>
        <v>4051</v>
      </c>
      <c r="I209" s="1">
        <f t="shared" si="10"/>
        <v>4051</v>
      </c>
      <c r="J209" s="1" t="str">
        <f t="shared" si="11"/>
        <v>Nill</v>
      </c>
      <c r="K209" s="1" t="s">
        <v>110</v>
      </c>
      <c r="L209" s="1" t="s">
        <v>81</v>
      </c>
      <c r="M209" s="1" t="s">
        <v>49</v>
      </c>
      <c r="N209"/>
    </row>
    <row r="210" spans="1:14" x14ac:dyDescent="0.25">
      <c r="A210" s="1" t="s">
        <v>724</v>
      </c>
      <c r="B210" s="1" t="s">
        <v>484</v>
      </c>
      <c r="C210" s="5">
        <v>44487</v>
      </c>
      <c r="D210" s="6">
        <f t="shared" si="9"/>
        <v>44487</v>
      </c>
      <c r="E210" s="1" t="s">
        <v>11</v>
      </c>
      <c r="F210" s="1" t="s">
        <v>85</v>
      </c>
      <c r="G210" s="1">
        <v>2985</v>
      </c>
      <c r="H210" s="1" cm="1">
        <f t="array" ref="H210">IF(TRIM(G210)="",
   MEDIAN(IFERROR(--SUBSTITUTE(SUBSTITUTE(SUBSTITUTE(SUBSTITUTE(SUBSTITUTE(SUBSTITUTE(G$2:G$747,"Rs.",""),"INR",""),"₹",""),"â‚¹",""),"$","")," ",""),"")),
   IFERROR(--SUBSTITUTE(SUBSTITUTE(SUBSTITUTE(SUBSTITUTE(SUBSTITUTE(SUBSTITUTE(TRIM(G210),"Rs.",""),"INR",""),"₹",""),"â‚¹",""),"$","")," ",""),"")
)</f>
        <v>2985</v>
      </c>
      <c r="I210" s="1">
        <f t="shared" si="10"/>
        <v>2985</v>
      </c>
      <c r="J210" s="1" t="str">
        <f t="shared" si="11"/>
        <v>Nill</v>
      </c>
      <c r="K210" s="1" t="s">
        <v>53</v>
      </c>
      <c r="L210" s="1" t="s">
        <v>217</v>
      </c>
      <c r="M210" s="1" t="s">
        <v>54</v>
      </c>
      <c r="N210"/>
    </row>
    <row r="211" spans="1:14" x14ac:dyDescent="0.25">
      <c r="A211" s="1" t="s">
        <v>1144</v>
      </c>
      <c r="B211" s="1" t="s">
        <v>885</v>
      </c>
      <c r="C211" s="5">
        <v>45100</v>
      </c>
      <c r="D211" s="6">
        <f t="shared" si="9"/>
        <v>45100</v>
      </c>
      <c r="E211" s="1" t="s">
        <v>11</v>
      </c>
      <c r="F211" s="1" t="s">
        <v>85</v>
      </c>
      <c r="G211" s="1">
        <v>845</v>
      </c>
      <c r="H211" s="1" cm="1">
        <f t="array" ref="H211">IF(TRIM(G211)="",
   MEDIAN(IFERROR(--SUBSTITUTE(SUBSTITUTE(SUBSTITUTE(SUBSTITUTE(SUBSTITUTE(SUBSTITUTE(G$2:G$747,"Rs.",""),"INR",""),"₹",""),"â‚¹",""),"$","")," ",""),"")),
   IFERROR(--SUBSTITUTE(SUBSTITUTE(SUBSTITUTE(SUBSTITUTE(SUBSTITUTE(SUBSTITUTE(TRIM(G211),"Rs.",""),"INR",""),"₹",""),"â‚¹",""),"$","")," ",""),"")
)</f>
        <v>845</v>
      </c>
      <c r="I211" s="1">
        <f t="shared" si="10"/>
        <v>845</v>
      </c>
      <c r="J211" s="1" t="str">
        <f t="shared" si="11"/>
        <v>Nill</v>
      </c>
      <c r="K211" s="1" t="s">
        <v>172</v>
      </c>
      <c r="L211" s="1" t="s">
        <v>13</v>
      </c>
      <c r="M211" s="1" t="s">
        <v>70</v>
      </c>
      <c r="N211"/>
    </row>
    <row r="212" spans="1:14" x14ac:dyDescent="0.25">
      <c r="A212" s="1" t="s">
        <v>798</v>
      </c>
      <c r="B212" s="1" t="s">
        <v>324</v>
      </c>
      <c r="C212" s="5">
        <v>45262</v>
      </c>
      <c r="D212" s="6">
        <f t="shared" si="9"/>
        <v>45262</v>
      </c>
      <c r="E212" s="1" t="s">
        <v>20</v>
      </c>
      <c r="F212" s="1" t="s">
        <v>52</v>
      </c>
      <c r="G212" s="1" t="s">
        <v>799</v>
      </c>
      <c r="H212" s="1" cm="1">
        <f t="array" ref="H212">IF(TRIM(G212)="",
   MEDIAN(IFERROR(--SUBSTITUTE(SUBSTITUTE(SUBSTITUTE(SUBSTITUTE(SUBSTITUTE(SUBSTITUTE(G$2:G$747,"Rs.",""),"INR",""),"₹",""),"â‚¹",""),"$","")," ",""),"")),
   IFERROR(--SUBSTITUTE(SUBSTITUTE(SUBSTITUTE(SUBSTITUTE(SUBSTITUTE(SUBSTITUTE(TRIM(G212),"Rs.",""),"INR",""),"₹",""),"â‚¹",""),"$","")," ",""),"")
)</f>
        <v>42921</v>
      </c>
      <c r="I212" s="1" t="str">
        <f t="shared" si="10"/>
        <v>Nill</v>
      </c>
      <c r="J212" s="1">
        <f t="shared" si="11"/>
        <v>42921</v>
      </c>
      <c r="K212" s="1" t="s">
        <v>138</v>
      </c>
      <c r="L212" s="1" t="s">
        <v>198</v>
      </c>
      <c r="M212" s="1" t="s">
        <v>82</v>
      </c>
      <c r="N212"/>
    </row>
    <row r="213" spans="1:14" x14ac:dyDescent="0.25">
      <c r="A213" s="1" t="s">
        <v>325</v>
      </c>
      <c r="B213" s="1" t="s">
        <v>326</v>
      </c>
      <c r="C213" s="5">
        <v>44352</v>
      </c>
      <c r="D213" s="6">
        <f t="shared" si="9"/>
        <v>44352</v>
      </c>
      <c r="E213" s="1" t="s">
        <v>20</v>
      </c>
      <c r="F213" s="1" t="s">
        <v>21</v>
      </c>
      <c r="G213" s="1">
        <v>32381</v>
      </c>
      <c r="H213" s="1" cm="1">
        <f t="array" ref="H213">IF(TRIM(G213)="",
   MEDIAN(IFERROR(--SUBSTITUTE(SUBSTITUTE(SUBSTITUTE(SUBSTITUTE(SUBSTITUTE(SUBSTITUTE(G$2:G$747,"Rs.",""),"INR",""),"₹",""),"â‚¹",""),"$","")," ",""),"")),
   IFERROR(--SUBSTITUTE(SUBSTITUTE(SUBSTITUTE(SUBSTITUTE(SUBSTITUTE(SUBSTITUTE(TRIM(G213),"Rs.",""),"INR",""),"₹",""),"â‚¹",""),"$","")," ",""),"")
)</f>
        <v>32381</v>
      </c>
      <c r="I213" s="1" t="str">
        <f t="shared" si="10"/>
        <v>Nill</v>
      </c>
      <c r="J213" s="1">
        <f t="shared" si="11"/>
        <v>32381</v>
      </c>
      <c r="K213" s="1" t="s">
        <v>25</v>
      </c>
      <c r="L213" s="1" t="s">
        <v>299</v>
      </c>
      <c r="M213" s="1" t="s">
        <v>1253</v>
      </c>
      <c r="N213"/>
    </row>
    <row r="214" spans="1:14" x14ac:dyDescent="0.25">
      <c r="A214" s="1" t="s">
        <v>1205</v>
      </c>
      <c r="B214" s="1" t="s">
        <v>416</v>
      </c>
      <c r="C214" s="5">
        <v>45037</v>
      </c>
      <c r="D214" s="6">
        <f t="shared" si="9"/>
        <v>45037</v>
      </c>
      <c r="E214" s="1" t="s">
        <v>11</v>
      </c>
      <c r="F214" s="1" t="s">
        <v>30</v>
      </c>
      <c r="G214" s="1">
        <v>4253</v>
      </c>
      <c r="H214" s="1" cm="1">
        <f t="array" ref="H214">IF(TRIM(G214)="",
   MEDIAN(IFERROR(--SUBSTITUTE(SUBSTITUTE(SUBSTITUTE(SUBSTITUTE(SUBSTITUTE(SUBSTITUTE(G$2:G$747,"Rs.",""),"INR",""),"₹",""),"â‚¹",""),"$","")," ",""),"")),
   IFERROR(--SUBSTITUTE(SUBSTITUTE(SUBSTITUTE(SUBSTITUTE(SUBSTITUTE(SUBSTITUTE(TRIM(G214),"Rs.",""),"INR",""),"₹",""),"â‚¹",""),"$","")," ",""),"")
)</f>
        <v>4253</v>
      </c>
      <c r="I214" s="1">
        <f t="shared" si="10"/>
        <v>4253</v>
      </c>
      <c r="J214" s="1" t="str">
        <f t="shared" si="11"/>
        <v>Nill</v>
      </c>
      <c r="K214" s="1" t="s">
        <v>110</v>
      </c>
      <c r="L214" s="1" t="s">
        <v>17</v>
      </c>
      <c r="M214" s="1" t="s">
        <v>22</v>
      </c>
      <c r="N214"/>
    </row>
    <row r="215" spans="1:14" x14ac:dyDescent="0.25">
      <c r="A215" s="1" t="s">
        <v>15</v>
      </c>
      <c r="B215" s="1" t="s">
        <v>16</v>
      </c>
      <c r="C215" s="5">
        <v>44689</v>
      </c>
      <c r="D215" s="6">
        <f t="shared" si="9"/>
        <v>44689</v>
      </c>
      <c r="E215" s="1" t="s">
        <v>11</v>
      </c>
      <c r="F215" s="1" t="s">
        <v>171</v>
      </c>
      <c r="G215" s="1">
        <v>649</v>
      </c>
      <c r="H215" s="1" cm="1">
        <f t="array" ref="H215">IF(TRIM(G215)="",
   MEDIAN(IFERROR(--SUBSTITUTE(SUBSTITUTE(SUBSTITUTE(SUBSTITUTE(SUBSTITUTE(SUBSTITUTE(G$2:G$747,"Rs.",""),"INR",""),"₹",""),"â‚¹",""),"$","")," ",""),"")),
   IFERROR(--SUBSTITUTE(SUBSTITUTE(SUBSTITUTE(SUBSTITUTE(SUBSTITUTE(SUBSTITUTE(TRIM(G215),"Rs.",""),"INR",""),"₹",""),"â‚¹",""),"$","")," ",""),"")
)</f>
        <v>649</v>
      </c>
      <c r="I215" s="1">
        <f t="shared" si="10"/>
        <v>649</v>
      </c>
      <c r="J215" s="1" t="str">
        <f t="shared" si="11"/>
        <v>Nill</v>
      </c>
      <c r="K215" s="1" t="s">
        <v>1253</v>
      </c>
      <c r="L215" s="1" t="s">
        <v>17</v>
      </c>
      <c r="M215" s="1" t="s">
        <v>1253</v>
      </c>
      <c r="N215"/>
    </row>
    <row r="216" spans="1:14" x14ac:dyDescent="0.25">
      <c r="A216" s="1" t="s">
        <v>1125</v>
      </c>
      <c r="B216" s="1" t="s">
        <v>885</v>
      </c>
      <c r="C216" s="5">
        <v>45185</v>
      </c>
      <c r="D216" s="6">
        <f t="shared" si="9"/>
        <v>45185</v>
      </c>
      <c r="E216" s="1" t="s">
        <v>11</v>
      </c>
      <c r="F216" s="1" t="s">
        <v>171</v>
      </c>
      <c r="G216" s="1">
        <v>1790</v>
      </c>
      <c r="H216" s="1" cm="1">
        <f t="array" ref="H216">IF(TRIM(G216)="",
   MEDIAN(IFERROR(--SUBSTITUTE(SUBSTITUTE(SUBSTITUTE(SUBSTITUTE(SUBSTITUTE(SUBSTITUTE(G$2:G$747,"Rs.",""),"INR",""),"₹",""),"â‚¹",""),"$","")," ",""),"")),
   IFERROR(--SUBSTITUTE(SUBSTITUTE(SUBSTITUTE(SUBSTITUTE(SUBSTITUTE(SUBSTITUTE(TRIM(G216),"Rs.",""),"INR",""),"₹",""),"â‚¹",""),"$","")," ",""),"")
)</f>
        <v>1790</v>
      </c>
      <c r="I216" s="1">
        <f t="shared" si="10"/>
        <v>1790</v>
      </c>
      <c r="J216" s="1" t="str">
        <f t="shared" si="11"/>
        <v>Nill</v>
      </c>
      <c r="K216" s="1" t="s">
        <v>75</v>
      </c>
      <c r="L216" s="1" t="s">
        <v>198</v>
      </c>
      <c r="M216" s="1" t="s">
        <v>117</v>
      </c>
      <c r="N216"/>
    </row>
    <row r="217" spans="1:14" x14ac:dyDescent="0.25">
      <c r="A217" s="1" t="s">
        <v>570</v>
      </c>
      <c r="B217" s="1" t="s">
        <v>274</v>
      </c>
      <c r="C217" s="1" t="s">
        <v>571</v>
      </c>
      <c r="D217" s="6">
        <f t="shared" si="9"/>
        <v>44307</v>
      </c>
      <c r="E217" s="1" t="s">
        <v>11</v>
      </c>
      <c r="F217" s="1" t="s">
        <v>69</v>
      </c>
      <c r="G217" s="1">
        <v>2130</v>
      </c>
      <c r="H217" s="1" cm="1">
        <f t="array" ref="H217">IF(TRIM(G217)="",
   MEDIAN(IFERROR(--SUBSTITUTE(SUBSTITUTE(SUBSTITUTE(SUBSTITUTE(SUBSTITUTE(SUBSTITUTE(G$2:G$747,"Rs.",""),"INR",""),"₹",""),"â‚¹",""),"$","")," ",""),"")),
   IFERROR(--SUBSTITUTE(SUBSTITUTE(SUBSTITUTE(SUBSTITUTE(SUBSTITUTE(SUBSTITUTE(TRIM(G217),"Rs.",""),"INR",""),"₹",""),"â‚¹",""),"$","")," ",""),"")
)</f>
        <v>2130</v>
      </c>
      <c r="I217" s="1">
        <f t="shared" si="10"/>
        <v>2130</v>
      </c>
      <c r="J217" s="1" t="str">
        <f t="shared" si="11"/>
        <v>Nill</v>
      </c>
      <c r="K217" s="1" t="s">
        <v>53</v>
      </c>
      <c r="L217" s="1" t="s">
        <v>40</v>
      </c>
      <c r="M217" s="1" t="s">
        <v>70</v>
      </c>
      <c r="N217"/>
    </row>
    <row r="218" spans="1:14" x14ac:dyDescent="0.25">
      <c r="A218" s="1" t="s">
        <v>91</v>
      </c>
      <c r="B218" s="1" t="s">
        <v>92</v>
      </c>
      <c r="C218" s="5">
        <v>44445</v>
      </c>
      <c r="D218" s="6">
        <f t="shared" si="9"/>
        <v>44445</v>
      </c>
      <c r="E218" s="1" t="s">
        <v>11</v>
      </c>
      <c r="F218" s="1" t="s">
        <v>171</v>
      </c>
      <c r="G218" s="1">
        <v>3010</v>
      </c>
      <c r="H218" s="1" cm="1">
        <f t="array" ref="H218">IF(TRIM(G218)="",
   MEDIAN(IFERROR(--SUBSTITUTE(SUBSTITUTE(SUBSTITUTE(SUBSTITUTE(SUBSTITUTE(SUBSTITUTE(G$2:G$747,"Rs.",""),"INR",""),"₹",""),"â‚¹",""),"$","")," ",""),"")),
   IFERROR(--SUBSTITUTE(SUBSTITUTE(SUBSTITUTE(SUBSTITUTE(SUBSTITUTE(SUBSTITUTE(TRIM(G218),"Rs.",""),"INR",""),"₹",""),"â‚¹",""),"$","")," ",""),"")
)</f>
        <v>3010</v>
      </c>
      <c r="I218" s="1">
        <f t="shared" si="10"/>
        <v>3010</v>
      </c>
      <c r="J218" s="1" t="str">
        <f t="shared" si="11"/>
        <v>Nill</v>
      </c>
      <c r="K218" s="1" t="s">
        <v>53</v>
      </c>
      <c r="L218" s="1" t="s">
        <v>217</v>
      </c>
      <c r="M218" s="1" t="s">
        <v>1253</v>
      </c>
      <c r="N218"/>
    </row>
    <row r="219" spans="1:14" x14ac:dyDescent="0.25">
      <c r="A219" s="1" t="s">
        <v>1209</v>
      </c>
      <c r="B219" s="1" t="s">
        <v>419</v>
      </c>
      <c r="C219" s="5">
        <v>45242</v>
      </c>
      <c r="D219" s="6">
        <f t="shared" si="9"/>
        <v>45242</v>
      </c>
      <c r="E219" s="1" t="s">
        <v>20</v>
      </c>
      <c r="F219" s="1" t="s">
        <v>21</v>
      </c>
      <c r="G219" s="1">
        <v>65471</v>
      </c>
      <c r="H219" s="1" cm="1">
        <f t="array" ref="H219">IF(TRIM(G219)="",
   MEDIAN(IFERROR(--SUBSTITUTE(SUBSTITUTE(SUBSTITUTE(SUBSTITUTE(SUBSTITUTE(SUBSTITUTE(G$2:G$747,"Rs.",""),"INR",""),"₹",""),"â‚¹",""),"$","")," ",""),"")),
   IFERROR(--SUBSTITUTE(SUBSTITUTE(SUBSTITUTE(SUBSTITUTE(SUBSTITUTE(SUBSTITUTE(TRIM(G219),"Rs.",""),"INR",""),"₹",""),"â‚¹",""),"$","")," ",""),"")
)</f>
        <v>65471</v>
      </c>
      <c r="I219" s="1" t="str">
        <f t="shared" si="10"/>
        <v>Nill</v>
      </c>
      <c r="J219" s="1">
        <f t="shared" si="11"/>
        <v>65471</v>
      </c>
      <c r="K219" s="1" t="s">
        <v>172</v>
      </c>
      <c r="L219" s="1" t="s">
        <v>1252</v>
      </c>
      <c r="M219" s="1" t="s">
        <v>22</v>
      </c>
      <c r="N219"/>
    </row>
    <row r="220" spans="1:14" x14ac:dyDescent="0.25">
      <c r="A220" s="1" t="s">
        <v>1010</v>
      </c>
      <c r="B220" s="1" t="s">
        <v>319</v>
      </c>
      <c r="C220" s="5">
        <v>45649</v>
      </c>
      <c r="D220" s="6">
        <f t="shared" si="9"/>
        <v>45649</v>
      </c>
      <c r="E220" s="1" t="s">
        <v>11</v>
      </c>
      <c r="F220" s="1" t="s">
        <v>465</v>
      </c>
      <c r="G220" s="1">
        <v>6626</v>
      </c>
      <c r="H220" s="1" cm="1">
        <f t="array" ref="H220">IF(TRIM(G220)="",
   MEDIAN(IFERROR(--SUBSTITUTE(SUBSTITUTE(SUBSTITUTE(SUBSTITUTE(SUBSTITUTE(SUBSTITUTE(G$2:G$747,"Rs.",""),"INR",""),"₹",""),"â‚¹",""),"$","")," ",""),"")),
   IFERROR(--SUBSTITUTE(SUBSTITUTE(SUBSTITUTE(SUBSTITUTE(SUBSTITUTE(SUBSTITUTE(TRIM(G220),"Rs.",""),"INR",""),"₹",""),"â‚¹",""),"$","")," ",""),"")
)</f>
        <v>6626</v>
      </c>
      <c r="I220" s="1">
        <f t="shared" si="10"/>
        <v>6626</v>
      </c>
      <c r="J220" s="1" t="str">
        <f t="shared" si="11"/>
        <v>Nill</v>
      </c>
      <c r="K220" s="1" t="s">
        <v>75</v>
      </c>
      <c r="L220" s="1" t="s">
        <v>40</v>
      </c>
      <c r="M220" s="1" t="s">
        <v>241</v>
      </c>
      <c r="N220"/>
    </row>
    <row r="221" spans="1:14" x14ac:dyDescent="0.25">
      <c r="A221" s="1" t="s">
        <v>558</v>
      </c>
      <c r="B221" s="1" t="s">
        <v>99</v>
      </c>
      <c r="C221" s="5">
        <v>44935</v>
      </c>
      <c r="D221" s="6">
        <f t="shared" si="9"/>
        <v>44935</v>
      </c>
      <c r="E221" s="1" t="s">
        <v>11</v>
      </c>
      <c r="F221" s="1" t="s">
        <v>30</v>
      </c>
      <c r="G221" s="1">
        <v>8943</v>
      </c>
      <c r="H221" s="1" cm="1">
        <f t="array" ref="H221">IF(TRIM(G221)="",
   MEDIAN(IFERROR(--SUBSTITUTE(SUBSTITUTE(SUBSTITUTE(SUBSTITUTE(SUBSTITUTE(SUBSTITUTE(G$2:G$747,"Rs.",""),"INR",""),"₹",""),"â‚¹",""),"$","")," ",""),"")),
   IFERROR(--SUBSTITUTE(SUBSTITUTE(SUBSTITUTE(SUBSTITUTE(SUBSTITUTE(SUBSTITUTE(TRIM(G221),"Rs.",""),"INR",""),"₹",""),"â‚¹",""),"$","")," ",""),"")
)</f>
        <v>8943</v>
      </c>
      <c r="I221" s="1">
        <f t="shared" si="10"/>
        <v>8943</v>
      </c>
      <c r="J221" s="1" t="str">
        <f t="shared" si="11"/>
        <v>Nill</v>
      </c>
      <c r="K221" s="1" t="s">
        <v>12</v>
      </c>
      <c r="L221" s="1" t="s">
        <v>167</v>
      </c>
      <c r="M221" s="1" t="s">
        <v>241</v>
      </c>
      <c r="N221"/>
    </row>
    <row r="222" spans="1:14" x14ac:dyDescent="0.25">
      <c r="A222" s="1" t="s">
        <v>558</v>
      </c>
      <c r="B222" s="1" t="s">
        <v>254</v>
      </c>
      <c r="C222" s="5">
        <v>44906</v>
      </c>
      <c r="D222" s="6">
        <f t="shared" si="9"/>
        <v>44906</v>
      </c>
      <c r="E222" s="1" t="s">
        <v>11</v>
      </c>
      <c r="F222" s="1" t="s">
        <v>171</v>
      </c>
      <c r="G222" s="1" t="s">
        <v>1184</v>
      </c>
      <c r="H222" s="1" cm="1">
        <f t="array" ref="H222">IF(TRIM(G222)="",
   MEDIAN(IFERROR(--SUBSTITUTE(SUBSTITUTE(SUBSTITUTE(SUBSTITUTE(SUBSTITUTE(SUBSTITUTE(G$2:G$747,"Rs.",""),"INR",""),"₹",""),"â‚¹",""),"$","")," ",""),"")),
   IFERROR(--SUBSTITUTE(SUBSTITUTE(SUBSTITUTE(SUBSTITUTE(SUBSTITUTE(SUBSTITUTE(TRIM(G222),"Rs.",""),"INR",""),"₹",""),"â‚¹",""),"$","")," ",""),"")
)</f>
        <v>25106</v>
      </c>
      <c r="I222" s="1">
        <f t="shared" si="10"/>
        <v>25106</v>
      </c>
      <c r="J222" s="1" t="str">
        <f t="shared" si="11"/>
        <v>Nill</v>
      </c>
      <c r="K222" s="1" t="s">
        <v>25</v>
      </c>
      <c r="L222" s="1" t="s">
        <v>1252</v>
      </c>
      <c r="M222" s="1" t="s">
        <v>82</v>
      </c>
      <c r="N222"/>
    </row>
    <row r="223" spans="1:14" x14ac:dyDescent="0.25">
      <c r="A223" s="1" t="s">
        <v>1058</v>
      </c>
      <c r="B223" s="1" t="s">
        <v>155</v>
      </c>
      <c r="C223" s="5">
        <v>44975</v>
      </c>
      <c r="D223" s="6">
        <f t="shared" si="9"/>
        <v>44975</v>
      </c>
      <c r="E223" s="1" t="s">
        <v>11</v>
      </c>
      <c r="F223" s="1" t="s">
        <v>104</v>
      </c>
      <c r="G223" s="1">
        <v>7288</v>
      </c>
      <c r="H223" s="1" cm="1">
        <f t="array" ref="H223">IF(TRIM(G223)="",
   MEDIAN(IFERROR(--SUBSTITUTE(SUBSTITUTE(SUBSTITUTE(SUBSTITUTE(SUBSTITUTE(SUBSTITUTE(G$2:G$747,"Rs.",""),"INR",""),"₹",""),"â‚¹",""),"$","")," ",""),"")),
   IFERROR(--SUBSTITUTE(SUBSTITUTE(SUBSTITUTE(SUBSTITUTE(SUBSTITUTE(SUBSTITUTE(TRIM(G223),"Rs.",""),"INR",""),"₹",""),"â‚¹",""),"$","")," ",""),"")
)</f>
        <v>7288</v>
      </c>
      <c r="I223" s="1">
        <f t="shared" si="10"/>
        <v>7288</v>
      </c>
      <c r="J223" s="1" t="str">
        <f t="shared" si="11"/>
        <v>Nill</v>
      </c>
      <c r="K223" s="1" t="s">
        <v>110</v>
      </c>
      <c r="L223" s="1" t="s">
        <v>127</v>
      </c>
      <c r="M223" s="1" t="s">
        <v>179</v>
      </c>
      <c r="N223"/>
    </row>
    <row r="224" spans="1:14" x14ac:dyDescent="0.25">
      <c r="A224" s="1" t="s">
        <v>931</v>
      </c>
      <c r="B224" s="1" t="s">
        <v>155</v>
      </c>
      <c r="D224" s="6" t="str">
        <f t="shared" si="9"/>
        <v>unknown</v>
      </c>
      <c r="E224" s="1" t="s">
        <v>11</v>
      </c>
      <c r="F224" s="1" t="s">
        <v>69</v>
      </c>
      <c r="G224" s="1" t="s">
        <v>932</v>
      </c>
      <c r="H224" s="1" cm="1">
        <f t="array" ref="H224">IF(TRIM(G224)="",
   MEDIAN(IFERROR(--SUBSTITUTE(SUBSTITUTE(SUBSTITUTE(SUBSTITUTE(SUBSTITUTE(SUBSTITUTE(G$2:G$747,"Rs.",""),"INR",""),"₹",""),"â‚¹",""),"$","")," ",""),"")),
   IFERROR(--SUBSTITUTE(SUBSTITUTE(SUBSTITUTE(SUBSTITUTE(SUBSTITUTE(SUBSTITUTE(TRIM(G224),"Rs.",""),"INR",""),"₹",""),"â‚¹",""),"$","")," ",""),"")
)</f>
        <v>1889</v>
      </c>
      <c r="I224" s="1">
        <f t="shared" si="10"/>
        <v>1889</v>
      </c>
      <c r="J224" s="1" t="str">
        <f t="shared" si="11"/>
        <v>Nill</v>
      </c>
      <c r="K224" s="1" t="s">
        <v>110</v>
      </c>
      <c r="L224" s="1" t="s">
        <v>217</v>
      </c>
      <c r="M224" s="1" t="s">
        <v>190</v>
      </c>
      <c r="N224"/>
    </row>
    <row r="225" spans="1:14" x14ac:dyDescent="0.25">
      <c r="A225" s="1" t="s">
        <v>746</v>
      </c>
      <c r="B225" s="1" t="s">
        <v>747</v>
      </c>
      <c r="C225" s="5">
        <v>44785</v>
      </c>
      <c r="D225" s="6">
        <f t="shared" si="9"/>
        <v>44785</v>
      </c>
      <c r="E225" s="1" t="s">
        <v>11</v>
      </c>
      <c r="F225" s="1" t="s">
        <v>30</v>
      </c>
      <c r="G225" s="1">
        <v>4201</v>
      </c>
      <c r="H225" s="1" cm="1">
        <f t="array" ref="H225">IF(TRIM(G225)="",
   MEDIAN(IFERROR(--SUBSTITUTE(SUBSTITUTE(SUBSTITUTE(SUBSTITUTE(SUBSTITUTE(SUBSTITUTE(G$2:G$747,"Rs.",""),"INR",""),"₹",""),"â‚¹",""),"$","")," ",""),"")),
   IFERROR(--SUBSTITUTE(SUBSTITUTE(SUBSTITUTE(SUBSTITUTE(SUBSTITUTE(SUBSTITUTE(TRIM(G225),"Rs.",""),"INR",""),"₹",""),"â‚¹",""),"$","")," ",""),"")
)</f>
        <v>4201</v>
      </c>
      <c r="I225" s="1">
        <f t="shared" si="10"/>
        <v>4201</v>
      </c>
      <c r="J225" s="1" t="str">
        <f t="shared" si="11"/>
        <v>Nill</v>
      </c>
      <c r="K225" s="1" t="s">
        <v>138</v>
      </c>
      <c r="L225" s="1" t="s">
        <v>97</v>
      </c>
      <c r="M225" s="1" t="s">
        <v>26</v>
      </c>
      <c r="N225"/>
    </row>
    <row r="226" spans="1:14" x14ac:dyDescent="0.25">
      <c r="A226" s="1" t="s">
        <v>824</v>
      </c>
      <c r="B226" s="1" t="s">
        <v>428</v>
      </c>
      <c r="C226" s="5">
        <v>45105</v>
      </c>
      <c r="D226" s="6">
        <f t="shared" si="9"/>
        <v>45105</v>
      </c>
      <c r="E226" s="1" t="s">
        <v>11</v>
      </c>
      <c r="F226" s="1" t="s">
        <v>171</v>
      </c>
      <c r="G226" s="1">
        <v>39845</v>
      </c>
      <c r="H226" s="1" cm="1">
        <f t="array" ref="H226">IF(TRIM(G226)="",
   MEDIAN(IFERROR(--SUBSTITUTE(SUBSTITUTE(SUBSTITUTE(SUBSTITUTE(SUBSTITUTE(SUBSTITUTE(G$2:G$747,"Rs.",""),"INR",""),"₹",""),"â‚¹",""),"$","")," ",""),"")),
   IFERROR(--SUBSTITUTE(SUBSTITUTE(SUBSTITUTE(SUBSTITUTE(SUBSTITUTE(SUBSTITUTE(TRIM(G226),"Rs.",""),"INR",""),"₹",""),"â‚¹",""),"$","")," ",""),"")
)</f>
        <v>39845</v>
      </c>
      <c r="I226" s="1">
        <f t="shared" si="10"/>
        <v>39845</v>
      </c>
      <c r="J226" s="1" t="str">
        <f t="shared" si="11"/>
        <v>Nill</v>
      </c>
      <c r="K226" s="1" t="s">
        <v>261</v>
      </c>
      <c r="L226" s="1" t="s">
        <v>127</v>
      </c>
      <c r="M226" s="1" t="s">
        <v>70</v>
      </c>
      <c r="N226"/>
    </row>
    <row r="227" spans="1:14" x14ac:dyDescent="0.25">
      <c r="A227" s="1" t="s">
        <v>708</v>
      </c>
      <c r="B227" s="1" t="s">
        <v>295</v>
      </c>
      <c r="C227" s="5">
        <v>45038</v>
      </c>
      <c r="D227" s="6">
        <f t="shared" si="9"/>
        <v>45038</v>
      </c>
      <c r="E227" s="1" t="s">
        <v>11</v>
      </c>
      <c r="F227" s="1" t="s">
        <v>249</v>
      </c>
      <c r="G227" s="1" t="s">
        <v>709</v>
      </c>
      <c r="H227" s="1" cm="1">
        <f t="array" ref="H227">IF(TRIM(G227)="",
   MEDIAN(IFERROR(--SUBSTITUTE(SUBSTITUTE(SUBSTITUTE(SUBSTITUTE(SUBSTITUTE(SUBSTITUTE(G$2:G$747,"Rs.",""),"INR",""),"₹",""),"â‚¹",""),"$","")," ",""),"")),
   IFERROR(--SUBSTITUTE(SUBSTITUTE(SUBSTITUTE(SUBSTITUTE(SUBSTITUTE(SUBSTITUTE(TRIM(G227),"Rs.",""),"INR",""),"₹",""),"â‚¹",""),"$","")," ",""),"")
)</f>
        <v>9245</v>
      </c>
      <c r="I227" s="1">
        <f t="shared" si="10"/>
        <v>9245</v>
      </c>
      <c r="J227" s="1" t="str">
        <f t="shared" si="11"/>
        <v>Nill</v>
      </c>
      <c r="K227" s="1" t="s">
        <v>25</v>
      </c>
      <c r="L227" s="1" t="s">
        <v>13</v>
      </c>
      <c r="M227" s="1" t="s">
        <v>133</v>
      </c>
      <c r="N227"/>
    </row>
    <row r="228" spans="1:14" x14ac:dyDescent="0.25">
      <c r="A228" s="1" t="s">
        <v>156</v>
      </c>
      <c r="B228" s="1" t="s">
        <v>108</v>
      </c>
      <c r="C228" s="1" t="s">
        <v>157</v>
      </c>
      <c r="D228" s="6">
        <f t="shared" si="9"/>
        <v>44366</v>
      </c>
      <c r="E228" s="1" t="s">
        <v>11</v>
      </c>
      <c r="F228" s="1" t="s">
        <v>158</v>
      </c>
      <c r="G228" s="1">
        <v>2228</v>
      </c>
      <c r="H228" s="1" cm="1">
        <f t="array" ref="H228">IF(TRIM(G228)="",
   MEDIAN(IFERROR(--SUBSTITUTE(SUBSTITUTE(SUBSTITUTE(SUBSTITUTE(SUBSTITUTE(SUBSTITUTE(G$2:G$747,"Rs.",""),"INR",""),"₹",""),"â‚¹",""),"$","")," ",""),"")),
   IFERROR(--SUBSTITUTE(SUBSTITUTE(SUBSTITUTE(SUBSTITUTE(SUBSTITUTE(SUBSTITUTE(TRIM(G228),"Rs.",""),"INR",""),"₹",""),"â‚¹",""),"$","")," ",""),"")
)</f>
        <v>2228</v>
      </c>
      <c r="I228" s="1">
        <f t="shared" si="10"/>
        <v>2228</v>
      </c>
      <c r="J228" s="1" t="str">
        <f t="shared" si="11"/>
        <v>Nill</v>
      </c>
      <c r="K228" s="1" t="s">
        <v>138</v>
      </c>
      <c r="L228" s="1" t="s">
        <v>127</v>
      </c>
      <c r="M228" s="1" t="s">
        <v>14</v>
      </c>
      <c r="N228"/>
    </row>
    <row r="229" spans="1:14" x14ac:dyDescent="0.25">
      <c r="A229" s="1" t="s">
        <v>369</v>
      </c>
      <c r="B229" s="1" t="s">
        <v>243</v>
      </c>
      <c r="C229" s="5">
        <v>45388</v>
      </c>
      <c r="D229" s="6">
        <f t="shared" si="9"/>
        <v>45388</v>
      </c>
      <c r="E229" s="1" t="s">
        <v>11</v>
      </c>
      <c r="F229" s="1" t="s">
        <v>69</v>
      </c>
      <c r="G229" s="1" t="s">
        <v>370</v>
      </c>
      <c r="H229" s="1" cm="1">
        <f t="array" ref="H229">IF(TRIM(G229)="",
   MEDIAN(IFERROR(--SUBSTITUTE(SUBSTITUTE(SUBSTITUTE(SUBSTITUTE(SUBSTITUTE(SUBSTITUTE(G$2:G$747,"Rs.",""),"INR",""),"₹",""),"â‚¹",""),"$","")," ",""),"")),
   IFERROR(--SUBSTITUTE(SUBSTITUTE(SUBSTITUTE(SUBSTITUTE(SUBSTITUTE(SUBSTITUTE(TRIM(G229),"Rs.",""),"INR",""),"₹",""),"â‚¹",""),"$","")," ",""),"")
)</f>
        <v>2855</v>
      </c>
      <c r="I229" s="1">
        <f t="shared" si="10"/>
        <v>2855</v>
      </c>
      <c r="J229" s="1" t="str">
        <f t="shared" si="11"/>
        <v>Nill</v>
      </c>
      <c r="K229" s="1" t="s">
        <v>53</v>
      </c>
      <c r="L229" s="1" t="s">
        <v>81</v>
      </c>
      <c r="M229" s="1" t="s">
        <v>82</v>
      </c>
      <c r="N229"/>
    </row>
    <row r="230" spans="1:14" x14ac:dyDescent="0.25">
      <c r="A230" s="1" t="s">
        <v>1009</v>
      </c>
      <c r="B230" s="1" t="s">
        <v>174</v>
      </c>
      <c r="C230" s="5">
        <v>44770</v>
      </c>
      <c r="D230" s="6">
        <f t="shared" si="9"/>
        <v>44770</v>
      </c>
      <c r="E230" s="1" t="s">
        <v>11</v>
      </c>
      <c r="F230" s="1" t="s">
        <v>69</v>
      </c>
      <c r="G230" s="1">
        <v>2392</v>
      </c>
      <c r="H230" s="1" cm="1">
        <f t="array" ref="H230">IF(TRIM(G230)="",
   MEDIAN(IFERROR(--SUBSTITUTE(SUBSTITUTE(SUBSTITUTE(SUBSTITUTE(SUBSTITUTE(SUBSTITUTE(G$2:G$747,"Rs.",""),"INR",""),"₹",""),"â‚¹",""),"$","")," ",""),"")),
   IFERROR(--SUBSTITUTE(SUBSTITUTE(SUBSTITUTE(SUBSTITUTE(SUBSTITUTE(SUBSTITUTE(TRIM(G230),"Rs.",""),"INR",""),"₹",""),"â‚¹",""),"$","")," ",""),"")
)</f>
        <v>2392</v>
      </c>
      <c r="I230" s="1">
        <f t="shared" si="10"/>
        <v>2392</v>
      </c>
      <c r="J230" s="1" t="str">
        <f t="shared" si="11"/>
        <v>Nill</v>
      </c>
      <c r="K230" s="1" t="s">
        <v>25</v>
      </c>
      <c r="L230" s="1" t="s">
        <v>97</v>
      </c>
      <c r="M230" s="1" t="s">
        <v>54</v>
      </c>
      <c r="N230"/>
    </row>
    <row r="231" spans="1:14" x14ac:dyDescent="0.25">
      <c r="A231" s="1" t="s">
        <v>1177</v>
      </c>
      <c r="B231" s="1" t="s">
        <v>160</v>
      </c>
      <c r="C231" s="5">
        <v>45000</v>
      </c>
      <c r="D231" s="6">
        <f t="shared" si="9"/>
        <v>45000</v>
      </c>
      <c r="E231" s="1" t="s">
        <v>11</v>
      </c>
      <c r="F231" s="1" t="s">
        <v>69</v>
      </c>
      <c r="G231" s="1">
        <v>4753</v>
      </c>
      <c r="H231" s="1" cm="1">
        <f t="array" ref="H231">IF(TRIM(G231)="",
   MEDIAN(IFERROR(--SUBSTITUTE(SUBSTITUTE(SUBSTITUTE(SUBSTITUTE(SUBSTITUTE(SUBSTITUTE(G$2:G$747,"Rs.",""),"INR",""),"₹",""),"â‚¹",""),"$","")," ",""),"")),
   IFERROR(--SUBSTITUTE(SUBSTITUTE(SUBSTITUTE(SUBSTITUTE(SUBSTITUTE(SUBSTITUTE(TRIM(G231),"Rs.",""),"INR",""),"₹",""),"â‚¹",""),"$","")," ",""),"")
)</f>
        <v>4753</v>
      </c>
      <c r="I231" s="1">
        <f t="shared" si="10"/>
        <v>4753</v>
      </c>
      <c r="J231" s="1" t="str">
        <f t="shared" si="11"/>
        <v>Nill</v>
      </c>
      <c r="K231" s="1" t="s">
        <v>138</v>
      </c>
      <c r="L231" s="1" t="s">
        <v>127</v>
      </c>
      <c r="M231" s="1" t="s">
        <v>241</v>
      </c>
      <c r="N231"/>
    </row>
    <row r="232" spans="1:14" x14ac:dyDescent="0.25">
      <c r="A232" s="1" t="s">
        <v>433</v>
      </c>
      <c r="B232" s="1" t="s">
        <v>434</v>
      </c>
      <c r="C232" s="1" t="s">
        <v>131</v>
      </c>
      <c r="D232" s="6">
        <f t="shared" si="9"/>
        <v>44910</v>
      </c>
      <c r="E232" s="1" t="s">
        <v>20</v>
      </c>
      <c r="F232" s="1" t="s">
        <v>21</v>
      </c>
      <c r="G232" s="1">
        <v>23504</v>
      </c>
      <c r="H232" s="1" cm="1">
        <f t="array" ref="H232">IF(TRIM(G232)="",
   MEDIAN(IFERROR(--SUBSTITUTE(SUBSTITUTE(SUBSTITUTE(SUBSTITUTE(SUBSTITUTE(SUBSTITUTE(G$2:G$747,"Rs.",""),"INR",""),"₹",""),"â‚¹",""),"$","")," ",""),"")),
   IFERROR(--SUBSTITUTE(SUBSTITUTE(SUBSTITUTE(SUBSTITUTE(SUBSTITUTE(SUBSTITUTE(TRIM(G232),"Rs.",""),"INR",""),"₹",""),"â‚¹",""),"$","")," ",""),"")
)</f>
        <v>23504</v>
      </c>
      <c r="I232" s="1" t="str">
        <f t="shared" si="10"/>
        <v>Nill</v>
      </c>
      <c r="J232" s="1">
        <f t="shared" si="11"/>
        <v>23504</v>
      </c>
      <c r="K232" s="1" t="s">
        <v>75</v>
      </c>
      <c r="L232" s="1" t="s">
        <v>17</v>
      </c>
      <c r="M232" s="1" t="s">
        <v>26</v>
      </c>
      <c r="N232"/>
    </row>
    <row r="233" spans="1:14" x14ac:dyDescent="0.25">
      <c r="A233" s="1" t="s">
        <v>1118</v>
      </c>
      <c r="B233" s="1" t="s">
        <v>421</v>
      </c>
      <c r="C233" s="1" t="s">
        <v>1119</v>
      </c>
      <c r="D233" s="6">
        <f t="shared" si="9"/>
        <v>44675</v>
      </c>
      <c r="E233" s="1" t="s">
        <v>11</v>
      </c>
      <c r="F233" s="1" t="s">
        <v>85</v>
      </c>
      <c r="G233" s="1">
        <v>7482</v>
      </c>
      <c r="H233" s="1" cm="1">
        <f t="array" ref="H233">IF(TRIM(G233)="",
   MEDIAN(IFERROR(--SUBSTITUTE(SUBSTITUTE(SUBSTITUTE(SUBSTITUTE(SUBSTITUTE(SUBSTITUTE(G$2:G$747,"Rs.",""),"INR",""),"₹",""),"â‚¹",""),"$","")," ",""),"")),
   IFERROR(--SUBSTITUTE(SUBSTITUTE(SUBSTITUTE(SUBSTITUTE(SUBSTITUTE(SUBSTITUTE(TRIM(G233),"Rs.",""),"INR",""),"₹",""),"â‚¹",""),"$","")," ",""),"")
)</f>
        <v>7482</v>
      </c>
      <c r="I233" s="1">
        <f t="shared" si="10"/>
        <v>7482</v>
      </c>
      <c r="J233" s="1" t="str">
        <f t="shared" si="11"/>
        <v>Nill</v>
      </c>
      <c r="K233" s="1" t="s">
        <v>110</v>
      </c>
      <c r="L233" s="1" t="s">
        <v>167</v>
      </c>
      <c r="M233" s="1" t="s">
        <v>122</v>
      </c>
      <c r="N233"/>
    </row>
    <row r="234" spans="1:14" x14ac:dyDescent="0.25">
      <c r="A234" s="1" t="s">
        <v>1114</v>
      </c>
      <c r="B234" s="1" t="s">
        <v>288</v>
      </c>
      <c r="C234" s="5">
        <v>44521</v>
      </c>
      <c r="D234" s="6">
        <f t="shared" si="9"/>
        <v>44521</v>
      </c>
      <c r="E234" s="1" t="s">
        <v>11</v>
      </c>
      <c r="F234" s="1" t="s">
        <v>104</v>
      </c>
      <c r="G234" s="1">
        <v>6829</v>
      </c>
      <c r="H234" s="1" cm="1">
        <f t="array" ref="H234">IF(TRIM(G234)="",
   MEDIAN(IFERROR(--SUBSTITUTE(SUBSTITUTE(SUBSTITUTE(SUBSTITUTE(SUBSTITUTE(SUBSTITUTE(G$2:G$747,"Rs.",""),"INR",""),"₹",""),"â‚¹",""),"$","")," ",""),"")),
   IFERROR(--SUBSTITUTE(SUBSTITUTE(SUBSTITUTE(SUBSTITUTE(SUBSTITUTE(SUBSTITUTE(TRIM(G234),"Rs.",""),"INR",""),"₹",""),"â‚¹",""),"$","")," ",""),"")
)</f>
        <v>6829</v>
      </c>
      <c r="I234" s="1">
        <f t="shared" si="10"/>
        <v>6829</v>
      </c>
      <c r="J234" s="1" t="str">
        <f t="shared" si="11"/>
        <v>Nill</v>
      </c>
      <c r="K234" s="1" t="s">
        <v>12</v>
      </c>
      <c r="L234" s="1" t="s">
        <v>40</v>
      </c>
      <c r="M234" s="1" t="s">
        <v>113</v>
      </c>
      <c r="N234"/>
    </row>
    <row r="235" spans="1:14" x14ac:dyDescent="0.25">
      <c r="A235" s="1" t="s">
        <v>1024</v>
      </c>
      <c r="B235" s="1" t="s">
        <v>873</v>
      </c>
      <c r="C235" s="5">
        <v>44272</v>
      </c>
      <c r="D235" s="6">
        <f t="shared" si="9"/>
        <v>44272</v>
      </c>
      <c r="E235" s="1" t="s">
        <v>11</v>
      </c>
      <c r="F235" s="1" t="s">
        <v>759</v>
      </c>
      <c r="G235" s="1">
        <v>8006</v>
      </c>
      <c r="H235" s="1" cm="1">
        <f t="array" ref="H235">IF(TRIM(G235)="",
   MEDIAN(IFERROR(--SUBSTITUTE(SUBSTITUTE(SUBSTITUTE(SUBSTITUTE(SUBSTITUTE(SUBSTITUTE(G$2:G$747,"Rs.",""),"INR",""),"₹",""),"â‚¹",""),"$","")," ",""),"")),
   IFERROR(--SUBSTITUTE(SUBSTITUTE(SUBSTITUTE(SUBSTITUTE(SUBSTITUTE(SUBSTITUTE(TRIM(G235),"Rs.",""),"INR",""),"₹",""),"â‚¹",""),"$","")," ",""),"")
)</f>
        <v>8006</v>
      </c>
      <c r="I235" s="1">
        <f t="shared" si="10"/>
        <v>8006</v>
      </c>
      <c r="J235" s="1" t="str">
        <f t="shared" si="11"/>
        <v>Nill</v>
      </c>
      <c r="K235" s="1" t="s">
        <v>204</v>
      </c>
      <c r="L235" s="1" t="s">
        <v>1252</v>
      </c>
      <c r="M235" s="1" t="s">
        <v>1253</v>
      </c>
      <c r="N235"/>
    </row>
    <row r="236" spans="1:14" x14ac:dyDescent="0.25">
      <c r="A236" s="1" t="s">
        <v>848</v>
      </c>
      <c r="B236" s="1" t="s">
        <v>130</v>
      </c>
      <c r="C236" s="5">
        <v>44824</v>
      </c>
      <c r="D236" s="6">
        <f t="shared" si="9"/>
        <v>44824</v>
      </c>
      <c r="E236" s="1" t="s">
        <v>11</v>
      </c>
      <c r="F236" s="1" t="s">
        <v>85</v>
      </c>
      <c r="G236" s="1" t="s">
        <v>849</v>
      </c>
      <c r="H236" s="1" cm="1">
        <f t="array" ref="H236">IF(TRIM(G236)="",
   MEDIAN(IFERROR(--SUBSTITUTE(SUBSTITUTE(SUBSTITUTE(SUBSTITUTE(SUBSTITUTE(SUBSTITUTE(G$2:G$747,"Rs.",""),"INR",""),"₹",""),"â‚¹",""),"$","")," ",""),"")),
   IFERROR(--SUBSTITUTE(SUBSTITUTE(SUBSTITUTE(SUBSTITUTE(SUBSTITUTE(SUBSTITUTE(TRIM(G236),"Rs.",""),"INR",""),"₹",""),"â‚¹",""),"$","")," ",""),"")
)</f>
        <v>5391</v>
      </c>
      <c r="I236" s="1">
        <f t="shared" si="10"/>
        <v>5391</v>
      </c>
      <c r="J236" s="1" t="str">
        <f t="shared" si="11"/>
        <v>Nill</v>
      </c>
      <c r="K236" s="1" t="s">
        <v>1253</v>
      </c>
      <c r="L236" s="1" t="s">
        <v>97</v>
      </c>
      <c r="M236" s="1" t="s">
        <v>35</v>
      </c>
      <c r="N236"/>
    </row>
    <row r="237" spans="1:14" x14ac:dyDescent="0.25">
      <c r="A237" s="1" t="s">
        <v>786</v>
      </c>
      <c r="B237" s="1" t="s">
        <v>43</v>
      </c>
      <c r="C237" s="5">
        <v>45459</v>
      </c>
      <c r="D237" s="6">
        <f t="shared" si="9"/>
        <v>45459</v>
      </c>
      <c r="E237" s="1" t="s">
        <v>11</v>
      </c>
      <c r="F237" s="1" t="s">
        <v>171</v>
      </c>
      <c r="G237" s="1">
        <v>1461</v>
      </c>
      <c r="H237" s="1" cm="1">
        <f t="array" ref="H237">IF(TRIM(G237)="",
   MEDIAN(IFERROR(--SUBSTITUTE(SUBSTITUTE(SUBSTITUTE(SUBSTITUTE(SUBSTITUTE(SUBSTITUTE(G$2:G$747,"Rs.",""),"INR",""),"₹",""),"â‚¹",""),"$","")," ",""),"")),
   IFERROR(--SUBSTITUTE(SUBSTITUTE(SUBSTITUTE(SUBSTITUTE(SUBSTITUTE(SUBSTITUTE(TRIM(G237),"Rs.",""),"INR",""),"₹",""),"â‚¹",""),"$","")," ",""),"")
)</f>
        <v>1461</v>
      </c>
      <c r="I237" s="1">
        <f t="shared" si="10"/>
        <v>1461</v>
      </c>
      <c r="J237" s="1" t="str">
        <f t="shared" si="11"/>
        <v>Nill</v>
      </c>
      <c r="K237" s="1" t="s">
        <v>48</v>
      </c>
      <c r="L237" s="1" t="s">
        <v>97</v>
      </c>
      <c r="M237" s="1" t="s">
        <v>113</v>
      </c>
      <c r="N237"/>
    </row>
    <row r="238" spans="1:14" x14ac:dyDescent="0.25">
      <c r="A238" s="1" t="s">
        <v>994</v>
      </c>
      <c r="B238" s="1" t="s">
        <v>51</v>
      </c>
      <c r="C238" s="5">
        <v>45178</v>
      </c>
      <c r="D238" s="6">
        <f t="shared" si="9"/>
        <v>45178</v>
      </c>
      <c r="E238" s="1" t="s">
        <v>11</v>
      </c>
      <c r="F238" s="1" t="s">
        <v>158</v>
      </c>
      <c r="G238" s="1" t="s">
        <v>995</v>
      </c>
      <c r="H238" s="1" cm="1">
        <f t="array" ref="H238">IF(TRIM(G238)="",
   MEDIAN(IFERROR(--SUBSTITUTE(SUBSTITUTE(SUBSTITUTE(SUBSTITUTE(SUBSTITUTE(SUBSTITUTE(G$2:G$747,"Rs.",""),"INR",""),"₹",""),"â‚¹",""),"$","")," ",""),"")),
   IFERROR(--SUBSTITUTE(SUBSTITUTE(SUBSTITUTE(SUBSTITUTE(SUBSTITUTE(SUBSTITUTE(TRIM(G238),"Rs.",""),"INR",""),"₹",""),"â‚¹",""),"$","")," ",""),"")
)</f>
        <v>9349</v>
      </c>
      <c r="I238" s="1">
        <f t="shared" si="10"/>
        <v>9349</v>
      </c>
      <c r="J238" s="1" t="str">
        <f t="shared" si="11"/>
        <v>Nill</v>
      </c>
      <c r="K238" s="1" t="s">
        <v>25</v>
      </c>
      <c r="L238" s="1" t="s">
        <v>1252</v>
      </c>
      <c r="M238" s="1" t="s">
        <v>113</v>
      </c>
      <c r="N238"/>
    </row>
    <row r="239" spans="1:14" x14ac:dyDescent="0.25">
      <c r="A239" s="1" t="s">
        <v>616</v>
      </c>
      <c r="B239" s="1" t="s">
        <v>617</v>
      </c>
      <c r="C239" s="5">
        <v>45414</v>
      </c>
      <c r="D239" s="6">
        <f t="shared" si="9"/>
        <v>45414</v>
      </c>
      <c r="E239" s="1" t="s">
        <v>11</v>
      </c>
      <c r="F239" s="1" t="s">
        <v>69</v>
      </c>
      <c r="G239" s="1">
        <v>4549</v>
      </c>
      <c r="H239" s="1" cm="1">
        <f t="array" ref="H239">IF(TRIM(G239)="",
   MEDIAN(IFERROR(--SUBSTITUTE(SUBSTITUTE(SUBSTITUTE(SUBSTITUTE(SUBSTITUTE(SUBSTITUTE(G$2:G$747,"Rs.",""),"INR",""),"₹",""),"â‚¹",""),"$","")," ",""),"")),
   IFERROR(--SUBSTITUTE(SUBSTITUTE(SUBSTITUTE(SUBSTITUTE(SUBSTITUTE(SUBSTITUTE(TRIM(G239),"Rs.",""),"INR",""),"₹",""),"â‚¹",""),"$","")," ",""),"")
)</f>
        <v>4549</v>
      </c>
      <c r="I239" s="1">
        <f t="shared" si="10"/>
        <v>4549</v>
      </c>
      <c r="J239" s="1" t="str">
        <f t="shared" si="11"/>
        <v>Nill</v>
      </c>
      <c r="K239" s="1" t="s">
        <v>138</v>
      </c>
      <c r="L239" s="1" t="s">
        <v>299</v>
      </c>
      <c r="M239" s="1" t="s">
        <v>76</v>
      </c>
      <c r="N239"/>
    </row>
    <row r="240" spans="1:14" x14ac:dyDescent="0.25">
      <c r="A240" s="1" t="s">
        <v>884</v>
      </c>
      <c r="B240" s="1" t="s">
        <v>885</v>
      </c>
      <c r="C240" s="1" t="s">
        <v>886</v>
      </c>
      <c r="D240" s="6">
        <f t="shared" si="9"/>
        <v>44956</v>
      </c>
      <c r="E240" s="1" t="s">
        <v>20</v>
      </c>
      <c r="F240" s="1" t="s">
        <v>112</v>
      </c>
      <c r="G240" s="1" t="s">
        <v>887</v>
      </c>
      <c r="H240" s="1" cm="1">
        <f t="array" ref="H240">IF(TRIM(G240)="",
   MEDIAN(IFERROR(--SUBSTITUTE(SUBSTITUTE(SUBSTITUTE(SUBSTITUTE(SUBSTITUTE(SUBSTITUTE(G$2:G$747,"Rs.",""),"INR",""),"₹",""),"â‚¹",""),"$","")," ",""),"")),
   IFERROR(--SUBSTITUTE(SUBSTITUTE(SUBSTITUTE(SUBSTITUTE(SUBSTITUTE(SUBSTITUTE(TRIM(G240),"Rs.",""),"INR",""),"₹",""),"â‚¹",""),"$","")," ",""),"")
)</f>
        <v>10347</v>
      </c>
      <c r="I240" s="1" t="str">
        <f t="shared" si="10"/>
        <v>Nill</v>
      </c>
      <c r="J240" s="1">
        <f t="shared" si="11"/>
        <v>10347</v>
      </c>
      <c r="K240" s="1" t="s">
        <v>138</v>
      </c>
      <c r="L240" s="1" t="s">
        <v>81</v>
      </c>
      <c r="M240" s="1" t="s">
        <v>241</v>
      </c>
      <c r="N240"/>
    </row>
    <row r="241" spans="1:14" x14ac:dyDescent="0.25">
      <c r="A241" s="1" t="s">
        <v>1116</v>
      </c>
      <c r="B241" s="1" t="s">
        <v>421</v>
      </c>
      <c r="C241" s="1" t="s">
        <v>1117</v>
      </c>
      <c r="D241" s="6">
        <f t="shared" si="9"/>
        <v>44377</v>
      </c>
      <c r="E241" s="1" t="s">
        <v>11</v>
      </c>
      <c r="F241" s="1" t="s">
        <v>69</v>
      </c>
      <c r="G241" s="1">
        <v>-1000</v>
      </c>
      <c r="H241" s="1" cm="1">
        <f t="array" ref="H241">IF(TRIM(G241)="",
   MEDIAN(IFERROR(--SUBSTITUTE(SUBSTITUTE(SUBSTITUTE(SUBSTITUTE(SUBSTITUTE(SUBSTITUTE(G$2:G$747,"Rs.",""),"INR",""),"₹",""),"â‚¹",""),"$","")," ",""),"")),
   IFERROR(--SUBSTITUTE(SUBSTITUTE(SUBSTITUTE(SUBSTITUTE(SUBSTITUTE(SUBSTITUTE(TRIM(G241),"Rs.",""),"INR",""),"₹",""),"â‚¹",""),"$","")," ",""),"")
)</f>
        <v>-1000</v>
      </c>
      <c r="I241" s="1">
        <f t="shared" si="10"/>
        <v>-1000</v>
      </c>
      <c r="J241" s="1" t="str">
        <f t="shared" si="11"/>
        <v>Nill</v>
      </c>
      <c r="K241" s="1" t="s">
        <v>138</v>
      </c>
      <c r="L241" s="1" t="s">
        <v>40</v>
      </c>
      <c r="M241" s="1" t="s">
        <v>70</v>
      </c>
      <c r="N241"/>
    </row>
    <row r="242" spans="1:14" x14ac:dyDescent="0.25">
      <c r="A242" s="1" t="s">
        <v>921</v>
      </c>
      <c r="B242" s="1" t="s">
        <v>428</v>
      </c>
      <c r="C242" s="5">
        <v>44878</v>
      </c>
      <c r="D242" s="6">
        <f t="shared" si="9"/>
        <v>44878</v>
      </c>
      <c r="E242" s="1" t="s">
        <v>11</v>
      </c>
      <c r="F242" s="1" t="s">
        <v>158</v>
      </c>
      <c r="G242" s="1">
        <v>5642</v>
      </c>
      <c r="H242" s="1" cm="1">
        <f t="array" ref="H242">IF(TRIM(G242)="",
   MEDIAN(IFERROR(--SUBSTITUTE(SUBSTITUTE(SUBSTITUTE(SUBSTITUTE(SUBSTITUTE(SUBSTITUTE(G$2:G$747,"Rs.",""),"INR",""),"₹",""),"â‚¹",""),"$","")," ",""),"")),
   IFERROR(--SUBSTITUTE(SUBSTITUTE(SUBSTITUTE(SUBSTITUTE(SUBSTITUTE(SUBSTITUTE(TRIM(G242),"Rs.",""),"INR",""),"₹",""),"â‚¹",""),"$","")," ",""),"")
)</f>
        <v>5642</v>
      </c>
      <c r="I242" s="1">
        <f t="shared" si="10"/>
        <v>5642</v>
      </c>
      <c r="J242" s="1" t="str">
        <f t="shared" si="11"/>
        <v>Nill</v>
      </c>
      <c r="K242" s="1" t="s">
        <v>31</v>
      </c>
      <c r="L242" s="1" t="s">
        <v>81</v>
      </c>
      <c r="M242" s="1" t="s">
        <v>54</v>
      </c>
      <c r="N242"/>
    </row>
    <row r="243" spans="1:14" x14ac:dyDescent="0.25">
      <c r="A243" s="1" t="s">
        <v>800</v>
      </c>
      <c r="B243" s="1" t="s">
        <v>657</v>
      </c>
      <c r="C243" s="5">
        <v>44918</v>
      </c>
      <c r="D243" s="6">
        <f t="shared" si="9"/>
        <v>44918</v>
      </c>
      <c r="E243" s="1" t="s">
        <v>11</v>
      </c>
      <c r="F243" s="1" t="s">
        <v>69</v>
      </c>
      <c r="G243" s="1">
        <v>3021</v>
      </c>
      <c r="H243" s="1" cm="1">
        <f t="array" ref="H243">IF(TRIM(G243)="",
   MEDIAN(IFERROR(--SUBSTITUTE(SUBSTITUTE(SUBSTITUTE(SUBSTITUTE(SUBSTITUTE(SUBSTITUTE(G$2:G$747,"Rs.",""),"INR",""),"₹",""),"â‚¹",""),"$","")," ",""),"")),
   IFERROR(--SUBSTITUTE(SUBSTITUTE(SUBSTITUTE(SUBSTITUTE(SUBSTITUTE(SUBSTITUTE(TRIM(G243),"Rs.",""),"INR",""),"₹",""),"â‚¹",""),"$","")," ",""),"")
)</f>
        <v>3021</v>
      </c>
      <c r="I243" s="1">
        <f t="shared" si="10"/>
        <v>3021</v>
      </c>
      <c r="J243" s="1" t="str">
        <f t="shared" si="11"/>
        <v>Nill</v>
      </c>
      <c r="K243" s="1" t="s">
        <v>25</v>
      </c>
      <c r="L243" s="1" t="s">
        <v>13</v>
      </c>
      <c r="M243" s="1" t="s">
        <v>1253</v>
      </c>
      <c r="N243"/>
    </row>
    <row r="244" spans="1:14" x14ac:dyDescent="0.25">
      <c r="A244" s="1" t="s">
        <v>633</v>
      </c>
      <c r="B244" s="1" t="s">
        <v>166</v>
      </c>
      <c r="C244" s="5">
        <v>44641</v>
      </c>
      <c r="D244" s="6">
        <f t="shared" si="9"/>
        <v>44641</v>
      </c>
      <c r="E244" s="1" t="s">
        <v>11</v>
      </c>
      <c r="F244" s="1" t="s">
        <v>171</v>
      </c>
      <c r="G244" s="1" t="s">
        <v>634</v>
      </c>
      <c r="H244" s="1" cm="1">
        <f t="array" ref="H244">IF(TRIM(G244)="",
   MEDIAN(IFERROR(--SUBSTITUTE(SUBSTITUTE(SUBSTITUTE(SUBSTITUTE(SUBSTITUTE(SUBSTITUTE(G$2:G$747,"Rs.",""),"INR",""),"₹",""),"â‚¹",""),"$","")," ",""),"")),
   IFERROR(--SUBSTITUTE(SUBSTITUTE(SUBSTITUTE(SUBSTITUTE(SUBSTITUTE(SUBSTITUTE(TRIM(G244),"Rs.",""),"INR",""),"₹",""),"â‚¹",""),"$","")," ",""),"")
)</f>
        <v>1564</v>
      </c>
      <c r="I244" s="1">
        <f t="shared" si="10"/>
        <v>1564</v>
      </c>
      <c r="J244" s="1" t="str">
        <f t="shared" si="11"/>
        <v>Nill</v>
      </c>
      <c r="K244" s="1" t="s">
        <v>1253</v>
      </c>
      <c r="L244" s="1" t="s">
        <v>1252</v>
      </c>
      <c r="M244" s="1" t="s">
        <v>88</v>
      </c>
      <c r="N244"/>
    </row>
    <row r="245" spans="1:14" x14ac:dyDescent="0.25">
      <c r="A245" s="1" t="s">
        <v>632</v>
      </c>
      <c r="B245" s="1" t="s">
        <v>216</v>
      </c>
      <c r="C245" s="5">
        <v>44462</v>
      </c>
      <c r="D245" s="6">
        <f t="shared" si="9"/>
        <v>44462</v>
      </c>
      <c r="E245" s="1" t="s">
        <v>11</v>
      </c>
      <c r="F245" s="1" t="s">
        <v>465</v>
      </c>
      <c r="H245" s="1" cm="1">
        <f t="array" ref="H245">IF(TRIM(G245)="",
   MEDIAN(IFERROR(--SUBSTITUTE(SUBSTITUTE(SUBSTITUTE(SUBSTITUTE(SUBSTITUTE(SUBSTITUTE(G$2:G$747,"Rs.",""),"INR",""),"₹",""),"â‚¹",""),"$","")," ",""),"")),
   IFERROR(--SUBSTITUTE(SUBSTITUTE(SUBSTITUTE(SUBSTITUTE(SUBSTITUTE(SUBSTITUTE(TRIM(G245),"Rs.",""),"INR",""),"₹",""),"â‚¹",""),"$","")," ",""),"")
)</f>
        <v>5935</v>
      </c>
      <c r="I245" s="1">
        <f t="shared" si="10"/>
        <v>5935</v>
      </c>
      <c r="J245" s="1" t="str">
        <f t="shared" si="11"/>
        <v>Nill</v>
      </c>
      <c r="K245" s="1" t="s">
        <v>31</v>
      </c>
      <c r="L245" s="1" t="s">
        <v>127</v>
      </c>
      <c r="M245" s="1" t="s">
        <v>14</v>
      </c>
      <c r="N245"/>
    </row>
    <row r="246" spans="1:14" x14ac:dyDescent="0.25">
      <c r="A246" s="1" t="s">
        <v>879</v>
      </c>
      <c r="B246" s="1" t="s">
        <v>628</v>
      </c>
      <c r="C246" s="5">
        <v>45021</v>
      </c>
      <c r="D246" s="6">
        <f t="shared" si="9"/>
        <v>45021</v>
      </c>
      <c r="E246" s="1" t="s">
        <v>11</v>
      </c>
      <c r="F246" s="1" t="s">
        <v>30</v>
      </c>
      <c r="G246" s="1">
        <v>2642</v>
      </c>
      <c r="H246" s="1" cm="1">
        <f t="array" ref="H246">IF(TRIM(G246)="",
   MEDIAN(IFERROR(--SUBSTITUTE(SUBSTITUTE(SUBSTITUTE(SUBSTITUTE(SUBSTITUTE(SUBSTITUTE(G$2:G$747,"Rs.",""),"INR",""),"₹",""),"â‚¹",""),"$","")," ",""),"")),
   IFERROR(--SUBSTITUTE(SUBSTITUTE(SUBSTITUTE(SUBSTITUTE(SUBSTITUTE(SUBSTITUTE(TRIM(G246),"Rs.",""),"INR",""),"₹",""),"â‚¹",""),"$","")," ",""),"")
)</f>
        <v>2642</v>
      </c>
      <c r="I246" s="1">
        <f t="shared" si="10"/>
        <v>2642</v>
      </c>
      <c r="J246" s="1" t="str">
        <f t="shared" si="11"/>
        <v>Nill</v>
      </c>
      <c r="K246" s="1" t="s">
        <v>261</v>
      </c>
      <c r="L246" s="1" t="s">
        <v>127</v>
      </c>
      <c r="M246" s="1" t="s">
        <v>1253</v>
      </c>
      <c r="N246"/>
    </row>
    <row r="247" spans="1:14" x14ac:dyDescent="0.25">
      <c r="A247" s="1" t="s">
        <v>898</v>
      </c>
      <c r="B247" s="1" t="s">
        <v>254</v>
      </c>
      <c r="C247" s="1" t="s">
        <v>899</v>
      </c>
      <c r="D247" s="6">
        <f t="shared" si="9"/>
        <v>44756</v>
      </c>
      <c r="E247" s="1" t="s">
        <v>11</v>
      </c>
      <c r="F247" s="1" t="s">
        <v>104</v>
      </c>
      <c r="G247" s="1">
        <v>3700</v>
      </c>
      <c r="H247" s="1" cm="1">
        <f t="array" ref="H247">IF(TRIM(G247)="",
   MEDIAN(IFERROR(--SUBSTITUTE(SUBSTITUTE(SUBSTITUTE(SUBSTITUTE(SUBSTITUTE(SUBSTITUTE(G$2:G$747,"Rs.",""),"INR",""),"₹",""),"â‚¹",""),"$","")," ",""),"")),
   IFERROR(--SUBSTITUTE(SUBSTITUTE(SUBSTITUTE(SUBSTITUTE(SUBSTITUTE(SUBSTITUTE(TRIM(G247),"Rs.",""),"INR",""),"₹",""),"â‚¹",""),"$","")," ",""),"")
)</f>
        <v>3700</v>
      </c>
      <c r="I247" s="1">
        <f t="shared" si="10"/>
        <v>3700</v>
      </c>
      <c r="J247" s="1" t="str">
        <f t="shared" si="11"/>
        <v>Nill</v>
      </c>
      <c r="K247" s="1" t="s">
        <v>31</v>
      </c>
      <c r="L247" s="1" t="s">
        <v>13</v>
      </c>
      <c r="M247" s="1" t="s">
        <v>88</v>
      </c>
      <c r="N247"/>
    </row>
    <row r="248" spans="1:14" x14ac:dyDescent="0.25">
      <c r="A248" s="1" t="s">
        <v>403</v>
      </c>
      <c r="B248" s="1" t="s">
        <v>288</v>
      </c>
      <c r="C248" s="5">
        <v>44456</v>
      </c>
      <c r="D248" s="6">
        <f t="shared" si="9"/>
        <v>44456</v>
      </c>
      <c r="E248" s="1" t="s">
        <v>11</v>
      </c>
      <c r="F248" s="1" t="s">
        <v>69</v>
      </c>
      <c r="G248" s="1">
        <v>6197</v>
      </c>
      <c r="H248" s="1" cm="1">
        <f t="array" ref="H248">IF(TRIM(G248)="",
   MEDIAN(IFERROR(--SUBSTITUTE(SUBSTITUTE(SUBSTITUTE(SUBSTITUTE(SUBSTITUTE(SUBSTITUTE(G$2:G$747,"Rs.",""),"INR",""),"₹",""),"â‚¹",""),"$","")," ",""),"")),
   IFERROR(--SUBSTITUTE(SUBSTITUTE(SUBSTITUTE(SUBSTITUTE(SUBSTITUTE(SUBSTITUTE(TRIM(G248),"Rs.",""),"INR",""),"₹",""),"â‚¹",""),"$","")," ",""),"")
)</f>
        <v>6197</v>
      </c>
      <c r="I248" s="1">
        <f t="shared" si="10"/>
        <v>6197</v>
      </c>
      <c r="J248" s="1" t="str">
        <f t="shared" si="11"/>
        <v>Nill</v>
      </c>
      <c r="K248" s="1" t="s">
        <v>48</v>
      </c>
      <c r="L248" s="1" t="s">
        <v>1252</v>
      </c>
      <c r="M248" s="1" t="s">
        <v>1253</v>
      </c>
      <c r="N248"/>
    </row>
    <row r="249" spans="1:14" x14ac:dyDescent="0.25">
      <c r="A249" s="1" t="s">
        <v>969</v>
      </c>
      <c r="B249" s="1" t="s">
        <v>324</v>
      </c>
      <c r="C249" s="5">
        <v>44711</v>
      </c>
      <c r="D249" s="6">
        <f t="shared" si="9"/>
        <v>44711</v>
      </c>
      <c r="E249" s="1" t="s">
        <v>11</v>
      </c>
      <c r="F249" s="1" t="s">
        <v>85</v>
      </c>
      <c r="G249" s="1" t="s">
        <v>970</v>
      </c>
      <c r="H249" s="1" cm="1">
        <f t="array" ref="H249">IF(TRIM(G249)="",
   MEDIAN(IFERROR(--SUBSTITUTE(SUBSTITUTE(SUBSTITUTE(SUBSTITUTE(SUBSTITUTE(SUBSTITUTE(G$2:G$747,"Rs.",""),"INR",""),"₹",""),"â‚¹",""),"$","")," ",""),"")),
   IFERROR(--SUBSTITUTE(SUBSTITUTE(SUBSTITUTE(SUBSTITUTE(SUBSTITUTE(SUBSTITUTE(TRIM(G249),"Rs.",""),"INR",""),"₹",""),"â‚¹",""),"$","")," ",""),"")
)</f>
        <v>2954</v>
      </c>
      <c r="I249" s="1">
        <f t="shared" si="10"/>
        <v>2954</v>
      </c>
      <c r="J249" s="1" t="str">
        <f t="shared" si="11"/>
        <v>Nill</v>
      </c>
      <c r="K249" s="1" t="s">
        <v>12</v>
      </c>
      <c r="L249" s="1" t="s">
        <v>167</v>
      </c>
      <c r="M249" s="1" t="s">
        <v>82</v>
      </c>
      <c r="N249"/>
    </row>
    <row r="250" spans="1:14" x14ac:dyDescent="0.25">
      <c r="A250" s="1" t="s">
        <v>706</v>
      </c>
      <c r="B250" s="1" t="s">
        <v>148</v>
      </c>
      <c r="C250" s="5">
        <v>44731</v>
      </c>
      <c r="D250" s="6">
        <f t="shared" si="9"/>
        <v>44731</v>
      </c>
      <c r="E250" s="1" t="s">
        <v>11</v>
      </c>
      <c r="F250" s="1" t="s">
        <v>85</v>
      </c>
      <c r="G250" s="1">
        <v>3833</v>
      </c>
      <c r="H250" s="1" cm="1">
        <f t="array" ref="H250">IF(TRIM(G250)="",
   MEDIAN(IFERROR(--SUBSTITUTE(SUBSTITUTE(SUBSTITUTE(SUBSTITUTE(SUBSTITUTE(SUBSTITUTE(G$2:G$747,"Rs.",""),"INR",""),"₹",""),"â‚¹",""),"$","")," ",""),"")),
   IFERROR(--SUBSTITUTE(SUBSTITUTE(SUBSTITUTE(SUBSTITUTE(SUBSTITUTE(SUBSTITUTE(TRIM(G250),"Rs.",""),"INR",""),"₹",""),"â‚¹",""),"$","")," ",""),"")
)</f>
        <v>3833</v>
      </c>
      <c r="I250" s="1">
        <f t="shared" si="10"/>
        <v>3833</v>
      </c>
      <c r="J250" s="1" t="str">
        <f t="shared" si="11"/>
        <v>Nill</v>
      </c>
      <c r="K250" s="1" t="s">
        <v>31</v>
      </c>
      <c r="L250" s="1" t="s">
        <v>17</v>
      </c>
      <c r="M250" s="1" t="s">
        <v>190</v>
      </c>
      <c r="N250"/>
    </row>
    <row r="251" spans="1:14" x14ac:dyDescent="0.25">
      <c r="A251" s="1" t="s">
        <v>342</v>
      </c>
      <c r="B251" s="1" t="s">
        <v>160</v>
      </c>
      <c r="C251" s="5">
        <v>45601</v>
      </c>
      <c r="D251" s="6">
        <f t="shared" si="9"/>
        <v>45601</v>
      </c>
      <c r="E251" s="1" t="s">
        <v>11</v>
      </c>
      <c r="F251" s="1" t="s">
        <v>171</v>
      </c>
      <c r="G251" s="1">
        <v>2979</v>
      </c>
      <c r="H251" s="1" cm="1">
        <f t="array" ref="H251">IF(TRIM(G251)="",
   MEDIAN(IFERROR(--SUBSTITUTE(SUBSTITUTE(SUBSTITUTE(SUBSTITUTE(SUBSTITUTE(SUBSTITUTE(G$2:G$747,"Rs.",""),"INR",""),"₹",""),"â‚¹",""),"$","")," ",""),"")),
   IFERROR(--SUBSTITUTE(SUBSTITUTE(SUBSTITUTE(SUBSTITUTE(SUBSTITUTE(SUBSTITUTE(TRIM(G251),"Rs.",""),"INR",""),"₹",""),"â‚¹",""),"$","")," ",""),"")
)</f>
        <v>2979</v>
      </c>
      <c r="I251" s="1">
        <f t="shared" si="10"/>
        <v>2979</v>
      </c>
      <c r="J251" s="1" t="str">
        <f t="shared" si="11"/>
        <v>Nill</v>
      </c>
      <c r="K251" s="1" t="s">
        <v>204</v>
      </c>
      <c r="L251" s="1" t="s">
        <v>17</v>
      </c>
      <c r="M251" s="1" t="s">
        <v>179</v>
      </c>
      <c r="N251"/>
    </row>
    <row r="252" spans="1:14" x14ac:dyDescent="0.25">
      <c r="A252" s="1" t="s">
        <v>508</v>
      </c>
      <c r="B252" s="1" t="s">
        <v>509</v>
      </c>
      <c r="C252" s="5">
        <v>44896</v>
      </c>
      <c r="D252" s="6">
        <f t="shared" si="9"/>
        <v>44896</v>
      </c>
      <c r="E252" s="1" t="s">
        <v>20</v>
      </c>
      <c r="F252" s="1" t="s">
        <v>112</v>
      </c>
      <c r="G252" s="1">
        <v>29235</v>
      </c>
      <c r="H252" s="1" cm="1">
        <f t="array" ref="H252">IF(TRIM(G252)="",
   MEDIAN(IFERROR(--SUBSTITUTE(SUBSTITUTE(SUBSTITUTE(SUBSTITUTE(SUBSTITUTE(SUBSTITUTE(G$2:G$747,"Rs.",""),"INR",""),"₹",""),"â‚¹",""),"$","")," ",""),"")),
   IFERROR(--SUBSTITUTE(SUBSTITUTE(SUBSTITUTE(SUBSTITUTE(SUBSTITUTE(SUBSTITUTE(TRIM(G252),"Rs.",""),"INR",""),"₹",""),"â‚¹",""),"$","")," ",""),"")
)</f>
        <v>29235</v>
      </c>
      <c r="I252" s="1" t="str">
        <f t="shared" si="10"/>
        <v>Nill</v>
      </c>
      <c r="J252" s="1">
        <f t="shared" si="11"/>
        <v>29235</v>
      </c>
      <c r="K252" s="1" t="s">
        <v>75</v>
      </c>
      <c r="L252" s="1" t="s">
        <v>1252</v>
      </c>
      <c r="M252" s="1" t="s">
        <v>1253</v>
      </c>
      <c r="N252"/>
    </row>
    <row r="253" spans="1:14" x14ac:dyDescent="0.25">
      <c r="A253" s="1" t="s">
        <v>233</v>
      </c>
      <c r="B253" s="1" t="s">
        <v>234</v>
      </c>
      <c r="C253" s="5">
        <v>44505</v>
      </c>
      <c r="D253" s="6">
        <f t="shared" si="9"/>
        <v>44505</v>
      </c>
      <c r="E253" s="1" t="s">
        <v>11</v>
      </c>
      <c r="F253" s="1" t="s">
        <v>465</v>
      </c>
      <c r="G253" s="1">
        <v>9771</v>
      </c>
      <c r="H253" s="1" cm="1">
        <f t="array" ref="H253">IF(TRIM(G253)="",
   MEDIAN(IFERROR(--SUBSTITUTE(SUBSTITUTE(SUBSTITUTE(SUBSTITUTE(SUBSTITUTE(SUBSTITUTE(G$2:G$747,"Rs.",""),"INR",""),"₹",""),"â‚¹",""),"$","")," ",""),"")),
   IFERROR(--SUBSTITUTE(SUBSTITUTE(SUBSTITUTE(SUBSTITUTE(SUBSTITUTE(SUBSTITUTE(TRIM(G253),"Rs.",""),"INR",""),"₹",""),"â‚¹",""),"$","")," ",""),"")
)</f>
        <v>9771</v>
      </c>
      <c r="I253" s="1">
        <f t="shared" si="10"/>
        <v>9771</v>
      </c>
      <c r="J253" s="1" t="str">
        <f t="shared" si="11"/>
        <v>Nill</v>
      </c>
      <c r="K253" s="1" t="s">
        <v>25</v>
      </c>
      <c r="L253" s="1" t="s">
        <v>167</v>
      </c>
      <c r="M253" s="1" t="s">
        <v>210</v>
      </c>
      <c r="N253"/>
    </row>
    <row r="254" spans="1:14" x14ac:dyDescent="0.25">
      <c r="A254" s="1" t="s">
        <v>914</v>
      </c>
      <c r="B254" s="1" t="s">
        <v>126</v>
      </c>
      <c r="C254" s="5">
        <v>44447</v>
      </c>
      <c r="D254" s="6">
        <f t="shared" si="9"/>
        <v>44447</v>
      </c>
      <c r="E254" s="1" t="s">
        <v>11</v>
      </c>
      <c r="F254" s="1" t="s">
        <v>85</v>
      </c>
      <c r="G254" s="1" t="s">
        <v>915</v>
      </c>
      <c r="H254" s="1" cm="1">
        <f t="array" ref="H254">IF(TRIM(G254)="",
   MEDIAN(IFERROR(--SUBSTITUTE(SUBSTITUTE(SUBSTITUTE(SUBSTITUTE(SUBSTITUTE(SUBSTITUTE(G$2:G$747,"Rs.",""),"INR",""),"₹",""),"â‚¹",""),"$","")," ",""),"")),
   IFERROR(--SUBSTITUTE(SUBSTITUTE(SUBSTITUTE(SUBSTITUTE(SUBSTITUTE(SUBSTITUTE(TRIM(G254),"Rs.",""),"INR",""),"₹",""),"â‚¹",""),"$","")," ",""),"")
)</f>
        <v>1621</v>
      </c>
      <c r="I254" s="1">
        <f t="shared" si="10"/>
        <v>1621</v>
      </c>
      <c r="J254" s="1" t="str">
        <f t="shared" si="11"/>
        <v>Nill</v>
      </c>
      <c r="K254" s="1" t="s">
        <v>31</v>
      </c>
      <c r="L254" s="1" t="s">
        <v>198</v>
      </c>
      <c r="M254" s="1" t="s">
        <v>1253</v>
      </c>
      <c r="N254"/>
    </row>
    <row r="255" spans="1:14" x14ac:dyDescent="0.25">
      <c r="A255" s="1" t="s">
        <v>592</v>
      </c>
      <c r="B255" s="1" t="s">
        <v>16</v>
      </c>
      <c r="C255" s="5">
        <v>44495</v>
      </c>
      <c r="D255" s="6">
        <f t="shared" si="9"/>
        <v>44495</v>
      </c>
      <c r="E255" s="1" t="s">
        <v>11</v>
      </c>
      <c r="F255" s="1" t="s">
        <v>30</v>
      </c>
      <c r="G255" s="1">
        <v>5542</v>
      </c>
      <c r="H255" s="1" cm="1">
        <f t="array" ref="H255">IF(TRIM(G255)="",
   MEDIAN(IFERROR(--SUBSTITUTE(SUBSTITUTE(SUBSTITUTE(SUBSTITUTE(SUBSTITUTE(SUBSTITUTE(G$2:G$747,"Rs.",""),"INR",""),"₹",""),"â‚¹",""),"$","")," ",""),"")),
   IFERROR(--SUBSTITUTE(SUBSTITUTE(SUBSTITUTE(SUBSTITUTE(SUBSTITUTE(SUBSTITUTE(TRIM(G255),"Rs.",""),"INR",""),"₹",""),"â‚¹",""),"$","")," ",""),"")
)</f>
        <v>5542</v>
      </c>
      <c r="I255" s="1">
        <f t="shared" si="10"/>
        <v>5542</v>
      </c>
      <c r="J255" s="1" t="str">
        <f t="shared" si="11"/>
        <v>Nill</v>
      </c>
      <c r="K255" s="1" t="s">
        <v>31</v>
      </c>
      <c r="L255" s="1" t="s">
        <v>217</v>
      </c>
      <c r="M255" s="1" t="s">
        <v>210</v>
      </c>
      <c r="N255"/>
    </row>
    <row r="256" spans="1:14" x14ac:dyDescent="0.25">
      <c r="A256" s="1" t="s">
        <v>378</v>
      </c>
      <c r="B256" s="1" t="s">
        <v>10</v>
      </c>
      <c r="C256" s="5">
        <v>45599</v>
      </c>
      <c r="D256" s="6">
        <f t="shared" si="9"/>
        <v>45599</v>
      </c>
      <c r="E256" s="1" t="s">
        <v>11</v>
      </c>
      <c r="F256" s="1" t="s">
        <v>379</v>
      </c>
      <c r="G256" s="1">
        <v>3941</v>
      </c>
      <c r="H256" s="1" cm="1">
        <f t="array" ref="H256">IF(TRIM(G256)="",
   MEDIAN(IFERROR(--SUBSTITUTE(SUBSTITUTE(SUBSTITUTE(SUBSTITUTE(SUBSTITUTE(SUBSTITUTE(G$2:G$747,"Rs.",""),"INR",""),"₹",""),"â‚¹",""),"$","")," ",""),"")),
   IFERROR(--SUBSTITUTE(SUBSTITUTE(SUBSTITUTE(SUBSTITUTE(SUBSTITUTE(SUBSTITUTE(TRIM(G256),"Rs.",""),"INR",""),"₹",""),"â‚¹",""),"$","")," ",""),"")
)</f>
        <v>3941</v>
      </c>
      <c r="I256" s="1">
        <f t="shared" si="10"/>
        <v>3941</v>
      </c>
      <c r="J256" s="1" t="str">
        <f t="shared" si="11"/>
        <v>Nill</v>
      </c>
      <c r="K256" s="1" t="s">
        <v>75</v>
      </c>
      <c r="L256" s="1" t="s">
        <v>198</v>
      </c>
      <c r="M256" s="1" t="s">
        <v>255</v>
      </c>
      <c r="N256"/>
    </row>
    <row r="257" spans="1:14" x14ac:dyDescent="0.25">
      <c r="A257" s="1" t="s">
        <v>933</v>
      </c>
      <c r="B257" s="1" t="s">
        <v>773</v>
      </c>
      <c r="C257" s="5">
        <v>44244</v>
      </c>
      <c r="D257" s="6">
        <f t="shared" si="9"/>
        <v>44244</v>
      </c>
      <c r="E257" s="1" t="s">
        <v>11</v>
      </c>
      <c r="F257" s="1" t="s">
        <v>171</v>
      </c>
      <c r="G257" s="1">
        <v>36056</v>
      </c>
      <c r="H257" s="1" cm="1">
        <f t="array" ref="H257">IF(TRIM(G257)="",
   MEDIAN(IFERROR(--SUBSTITUTE(SUBSTITUTE(SUBSTITUTE(SUBSTITUTE(SUBSTITUTE(SUBSTITUTE(G$2:G$747,"Rs.",""),"INR",""),"₹",""),"â‚¹",""),"$","")," ",""),"")),
   IFERROR(--SUBSTITUTE(SUBSTITUTE(SUBSTITUTE(SUBSTITUTE(SUBSTITUTE(SUBSTITUTE(TRIM(G257),"Rs.",""),"INR",""),"₹",""),"â‚¹",""),"$","")," ",""),"")
)</f>
        <v>36056</v>
      </c>
      <c r="I257" s="1">
        <f t="shared" si="10"/>
        <v>36056</v>
      </c>
      <c r="J257" s="1" t="str">
        <f t="shared" si="11"/>
        <v>Nill</v>
      </c>
      <c r="K257" s="1" t="s">
        <v>172</v>
      </c>
      <c r="L257" s="1" t="s">
        <v>198</v>
      </c>
      <c r="M257" s="1" t="s">
        <v>1253</v>
      </c>
      <c r="N257"/>
    </row>
    <row r="258" spans="1:14" x14ac:dyDescent="0.25">
      <c r="A258" s="1" t="s">
        <v>375</v>
      </c>
      <c r="B258" s="1" t="s">
        <v>376</v>
      </c>
      <c r="C258" s="1" t="s">
        <v>377</v>
      </c>
      <c r="D258" s="6">
        <f t="shared" ref="D258:D321" si="12">IF(ISBLANK(C258),("unknown"),IF(ISNUMBER(C258),C258,DATE(RIGHT(C258,4),LEFT(C258,2),MID(C258,4,2))))</f>
        <v>44487</v>
      </c>
      <c r="E258" s="1" t="s">
        <v>11</v>
      </c>
      <c r="F258" s="1" t="s">
        <v>1243</v>
      </c>
      <c r="G258" s="1">
        <v>4952</v>
      </c>
      <c r="H258" s="1" cm="1">
        <f t="array" ref="H258">IF(TRIM(G258)="",
   MEDIAN(IFERROR(--SUBSTITUTE(SUBSTITUTE(SUBSTITUTE(SUBSTITUTE(SUBSTITUTE(SUBSTITUTE(G$2:G$747,"Rs.",""),"INR",""),"₹",""),"â‚¹",""),"$","")," ",""),"")),
   IFERROR(--SUBSTITUTE(SUBSTITUTE(SUBSTITUTE(SUBSTITUTE(SUBSTITUTE(SUBSTITUTE(TRIM(G258),"Rs.",""),"INR",""),"₹",""),"â‚¹",""),"$","")," ",""),"")
)</f>
        <v>4952</v>
      </c>
      <c r="I258" s="1">
        <f t="shared" ref="I258:I321" si="13">IF(E258="Expense",H258,"Nill")</f>
        <v>4952</v>
      </c>
      <c r="J258" s="1" t="str">
        <f t="shared" ref="J258:J321" si="14">IF(E258="Income",H258,"Nill")</f>
        <v>Nill</v>
      </c>
      <c r="K258" s="1" t="s">
        <v>204</v>
      </c>
      <c r="L258" s="1" t="s">
        <v>17</v>
      </c>
      <c r="M258" s="1" t="s">
        <v>76</v>
      </c>
      <c r="N258"/>
    </row>
    <row r="259" spans="1:14" x14ac:dyDescent="0.25">
      <c r="A259" s="1" t="s">
        <v>1191</v>
      </c>
      <c r="B259" s="1" t="s">
        <v>362</v>
      </c>
      <c r="C259" s="1" t="s">
        <v>1192</v>
      </c>
      <c r="D259" s="6">
        <f t="shared" si="12"/>
        <v>45062</v>
      </c>
      <c r="E259" s="1" t="s">
        <v>11</v>
      </c>
      <c r="F259" s="1" t="s">
        <v>85</v>
      </c>
      <c r="G259" s="1">
        <v>702</v>
      </c>
      <c r="H259" s="1" cm="1">
        <f t="array" ref="H259">IF(TRIM(G259)="",
   MEDIAN(IFERROR(--SUBSTITUTE(SUBSTITUTE(SUBSTITUTE(SUBSTITUTE(SUBSTITUTE(SUBSTITUTE(G$2:G$747,"Rs.",""),"INR",""),"₹",""),"â‚¹",""),"$","")," ",""),"")),
   IFERROR(--SUBSTITUTE(SUBSTITUTE(SUBSTITUTE(SUBSTITUTE(SUBSTITUTE(SUBSTITUTE(TRIM(G259),"Rs.",""),"INR",""),"₹",""),"â‚¹",""),"$","")," ",""),"")
)</f>
        <v>702</v>
      </c>
      <c r="I259" s="1">
        <f t="shared" si="13"/>
        <v>702</v>
      </c>
      <c r="J259" s="1" t="str">
        <f t="shared" si="14"/>
        <v>Nill</v>
      </c>
      <c r="K259" s="1" t="s">
        <v>12</v>
      </c>
      <c r="L259" s="1" t="s">
        <v>17</v>
      </c>
      <c r="M259" s="1" t="s">
        <v>210</v>
      </c>
      <c r="N259"/>
    </row>
    <row r="260" spans="1:14" x14ac:dyDescent="0.25">
      <c r="A260" s="1" t="s">
        <v>323</v>
      </c>
      <c r="B260" s="1" t="s">
        <v>324</v>
      </c>
      <c r="C260" s="5">
        <v>45172</v>
      </c>
      <c r="D260" s="6">
        <f t="shared" si="12"/>
        <v>45172</v>
      </c>
      <c r="E260" s="1" t="s">
        <v>11</v>
      </c>
      <c r="F260" s="1" t="s">
        <v>85</v>
      </c>
      <c r="G260" s="1">
        <v>9053</v>
      </c>
      <c r="H260" s="1" cm="1">
        <f t="array" ref="H260">IF(TRIM(G260)="",
   MEDIAN(IFERROR(--SUBSTITUTE(SUBSTITUTE(SUBSTITUTE(SUBSTITUTE(SUBSTITUTE(SUBSTITUTE(G$2:G$747,"Rs.",""),"INR",""),"₹",""),"â‚¹",""),"$","")," ",""),"")),
   IFERROR(--SUBSTITUTE(SUBSTITUTE(SUBSTITUTE(SUBSTITUTE(SUBSTITUTE(SUBSTITUTE(TRIM(G260),"Rs.",""),"INR",""),"₹",""),"â‚¹",""),"$","")," ",""),"")
)</f>
        <v>9053</v>
      </c>
      <c r="I260" s="1">
        <f t="shared" si="13"/>
        <v>9053</v>
      </c>
      <c r="J260" s="1" t="str">
        <f t="shared" si="14"/>
        <v>Nill</v>
      </c>
      <c r="K260" s="1" t="s">
        <v>1253</v>
      </c>
      <c r="L260" s="1" t="s">
        <v>40</v>
      </c>
      <c r="M260" s="1" t="s">
        <v>1253</v>
      </c>
      <c r="N260"/>
    </row>
    <row r="261" spans="1:14" x14ac:dyDescent="0.25">
      <c r="A261" s="1" t="s">
        <v>565</v>
      </c>
      <c r="B261" s="1" t="s">
        <v>421</v>
      </c>
      <c r="C261" s="5">
        <v>44411</v>
      </c>
      <c r="D261" s="6">
        <f t="shared" si="12"/>
        <v>44411</v>
      </c>
      <c r="E261" s="1" t="s">
        <v>20</v>
      </c>
      <c r="F261" s="1" t="s">
        <v>112</v>
      </c>
      <c r="G261" s="1">
        <v>74243</v>
      </c>
      <c r="H261" s="1" cm="1">
        <f t="array" ref="H261">IF(TRIM(G261)="",
   MEDIAN(IFERROR(--SUBSTITUTE(SUBSTITUTE(SUBSTITUTE(SUBSTITUTE(SUBSTITUTE(SUBSTITUTE(G$2:G$747,"Rs.",""),"INR",""),"₹",""),"â‚¹",""),"$","")," ",""),"")),
   IFERROR(--SUBSTITUTE(SUBSTITUTE(SUBSTITUTE(SUBSTITUTE(SUBSTITUTE(SUBSTITUTE(TRIM(G261),"Rs.",""),"INR",""),"₹",""),"â‚¹",""),"$","")," ",""),"")
)</f>
        <v>74243</v>
      </c>
      <c r="I261" s="1" t="str">
        <f t="shared" si="13"/>
        <v>Nill</v>
      </c>
      <c r="J261" s="1">
        <f t="shared" si="14"/>
        <v>74243</v>
      </c>
      <c r="K261" s="1" t="s">
        <v>138</v>
      </c>
      <c r="L261" s="1" t="s">
        <v>97</v>
      </c>
      <c r="M261" s="1" t="s">
        <v>117</v>
      </c>
      <c r="N261"/>
    </row>
    <row r="262" spans="1:14" x14ac:dyDescent="0.25">
      <c r="A262" s="1" t="s">
        <v>797</v>
      </c>
      <c r="B262" s="1" t="s">
        <v>626</v>
      </c>
      <c r="C262" s="5">
        <v>45627</v>
      </c>
      <c r="D262" s="6">
        <f t="shared" si="12"/>
        <v>45627</v>
      </c>
      <c r="E262" s="1" t="s">
        <v>11</v>
      </c>
      <c r="F262" s="1" t="s">
        <v>69</v>
      </c>
      <c r="G262" s="1">
        <v>7717</v>
      </c>
      <c r="H262" s="1" cm="1">
        <f t="array" ref="H262">IF(TRIM(G262)="",
   MEDIAN(IFERROR(--SUBSTITUTE(SUBSTITUTE(SUBSTITUTE(SUBSTITUTE(SUBSTITUTE(SUBSTITUTE(G$2:G$747,"Rs.",""),"INR",""),"₹",""),"â‚¹",""),"$","")," ",""),"")),
   IFERROR(--SUBSTITUTE(SUBSTITUTE(SUBSTITUTE(SUBSTITUTE(SUBSTITUTE(SUBSTITUTE(TRIM(G262),"Rs.",""),"INR",""),"₹",""),"â‚¹",""),"$","")," ",""),"")
)</f>
        <v>7717</v>
      </c>
      <c r="I262" s="1">
        <f t="shared" si="13"/>
        <v>7717</v>
      </c>
      <c r="J262" s="1" t="str">
        <f t="shared" si="14"/>
        <v>Nill</v>
      </c>
      <c r="K262" s="1" t="s">
        <v>1253</v>
      </c>
      <c r="L262" s="1" t="s">
        <v>40</v>
      </c>
      <c r="M262" s="1" t="s">
        <v>76</v>
      </c>
      <c r="N262"/>
    </row>
    <row r="263" spans="1:14" x14ac:dyDescent="0.25">
      <c r="A263" s="1" t="s">
        <v>738</v>
      </c>
      <c r="B263" s="1" t="s">
        <v>392</v>
      </c>
      <c r="D263" s="6" t="str">
        <f t="shared" si="12"/>
        <v>unknown</v>
      </c>
      <c r="E263" s="1" t="s">
        <v>11</v>
      </c>
      <c r="F263" s="1" t="s">
        <v>249</v>
      </c>
      <c r="G263" s="1">
        <v>7296</v>
      </c>
      <c r="H263" s="1" cm="1">
        <f t="array" ref="H263">IF(TRIM(G263)="",
   MEDIAN(IFERROR(--SUBSTITUTE(SUBSTITUTE(SUBSTITUTE(SUBSTITUTE(SUBSTITUTE(SUBSTITUTE(G$2:G$747,"Rs.",""),"INR",""),"₹",""),"â‚¹",""),"$","")," ",""),"")),
   IFERROR(--SUBSTITUTE(SUBSTITUTE(SUBSTITUTE(SUBSTITUTE(SUBSTITUTE(SUBSTITUTE(TRIM(G263),"Rs.",""),"INR",""),"₹",""),"â‚¹",""),"$","")," ",""),"")
)</f>
        <v>7296</v>
      </c>
      <c r="I263" s="1">
        <f t="shared" si="13"/>
        <v>7296</v>
      </c>
      <c r="J263" s="1" t="str">
        <f t="shared" si="14"/>
        <v>Nill</v>
      </c>
      <c r="K263" s="1" t="s">
        <v>25</v>
      </c>
      <c r="L263" s="1" t="s">
        <v>127</v>
      </c>
      <c r="M263" s="1" t="s">
        <v>210</v>
      </c>
      <c r="N263"/>
    </row>
    <row r="264" spans="1:14" x14ac:dyDescent="0.25">
      <c r="A264" s="1" t="s">
        <v>1156</v>
      </c>
      <c r="B264" s="1" t="s">
        <v>176</v>
      </c>
      <c r="C264" s="5">
        <v>44801</v>
      </c>
      <c r="D264" s="6">
        <f t="shared" si="12"/>
        <v>44801</v>
      </c>
      <c r="E264" s="1" t="s">
        <v>11</v>
      </c>
      <c r="F264" s="1" t="s">
        <v>171</v>
      </c>
      <c r="G264" s="1">
        <v>1009</v>
      </c>
      <c r="H264" s="1" cm="1">
        <f t="array" ref="H264">IF(TRIM(G264)="",
   MEDIAN(IFERROR(--SUBSTITUTE(SUBSTITUTE(SUBSTITUTE(SUBSTITUTE(SUBSTITUTE(SUBSTITUTE(G$2:G$747,"Rs.",""),"INR",""),"₹",""),"â‚¹",""),"$","")," ",""),"")),
   IFERROR(--SUBSTITUTE(SUBSTITUTE(SUBSTITUTE(SUBSTITUTE(SUBSTITUTE(SUBSTITUTE(TRIM(G264),"Rs.",""),"INR",""),"₹",""),"â‚¹",""),"$","")," ",""),"")
)</f>
        <v>1009</v>
      </c>
      <c r="I264" s="1">
        <f t="shared" si="13"/>
        <v>1009</v>
      </c>
      <c r="J264" s="1" t="str">
        <f t="shared" si="14"/>
        <v>Nill</v>
      </c>
      <c r="K264" s="1" t="s">
        <v>87</v>
      </c>
      <c r="L264" s="1" t="s">
        <v>217</v>
      </c>
      <c r="M264" s="1" t="s">
        <v>1253</v>
      </c>
      <c r="N264"/>
    </row>
    <row r="265" spans="1:14" x14ac:dyDescent="0.25">
      <c r="A265" s="1" t="s">
        <v>620</v>
      </c>
      <c r="B265" s="1" t="s">
        <v>551</v>
      </c>
      <c r="C265" s="5">
        <v>44557</v>
      </c>
      <c r="D265" s="6">
        <f t="shared" si="12"/>
        <v>44557</v>
      </c>
      <c r="E265" s="1" t="s">
        <v>11</v>
      </c>
      <c r="F265" s="1" t="s">
        <v>158</v>
      </c>
      <c r="G265" s="1">
        <v>7941</v>
      </c>
      <c r="H265" s="1" cm="1">
        <f t="array" ref="H265">IF(TRIM(G265)="",
   MEDIAN(IFERROR(--SUBSTITUTE(SUBSTITUTE(SUBSTITUTE(SUBSTITUTE(SUBSTITUTE(SUBSTITUTE(G$2:G$747,"Rs.",""),"INR",""),"₹",""),"â‚¹",""),"$","")," ",""),"")),
   IFERROR(--SUBSTITUTE(SUBSTITUTE(SUBSTITUTE(SUBSTITUTE(SUBSTITUTE(SUBSTITUTE(TRIM(G265),"Rs.",""),"INR",""),"₹",""),"â‚¹",""),"$","")," ",""),"")
)</f>
        <v>7941</v>
      </c>
      <c r="I265" s="1">
        <f t="shared" si="13"/>
        <v>7941</v>
      </c>
      <c r="J265" s="1" t="str">
        <f t="shared" si="14"/>
        <v>Nill</v>
      </c>
      <c r="K265" s="1" t="s">
        <v>172</v>
      </c>
      <c r="L265" s="1" t="s">
        <v>299</v>
      </c>
      <c r="M265" s="1" t="s">
        <v>35</v>
      </c>
      <c r="N265"/>
    </row>
    <row r="266" spans="1:14" x14ac:dyDescent="0.25">
      <c r="A266" s="1" t="s">
        <v>180</v>
      </c>
      <c r="B266" s="1" t="s">
        <v>181</v>
      </c>
      <c r="C266" s="5">
        <v>45421</v>
      </c>
      <c r="D266" s="6">
        <f t="shared" si="12"/>
        <v>45421</v>
      </c>
      <c r="E266" s="1" t="s">
        <v>11</v>
      </c>
      <c r="F266" s="1" t="s">
        <v>52</v>
      </c>
      <c r="G266" s="1">
        <v>3219</v>
      </c>
      <c r="H266" s="1" cm="1">
        <f t="array" ref="H266">IF(TRIM(G266)="",
   MEDIAN(IFERROR(--SUBSTITUTE(SUBSTITUTE(SUBSTITUTE(SUBSTITUTE(SUBSTITUTE(SUBSTITUTE(G$2:G$747,"Rs.",""),"INR",""),"₹",""),"â‚¹",""),"$","")," ",""),"")),
   IFERROR(--SUBSTITUTE(SUBSTITUTE(SUBSTITUTE(SUBSTITUTE(SUBSTITUTE(SUBSTITUTE(TRIM(G266),"Rs.",""),"INR",""),"₹",""),"â‚¹",""),"$","")," ",""),"")
)</f>
        <v>3219</v>
      </c>
      <c r="I266" s="1">
        <f t="shared" si="13"/>
        <v>3219</v>
      </c>
      <c r="J266" s="1" t="str">
        <f t="shared" si="14"/>
        <v>Nill</v>
      </c>
      <c r="K266" s="1" t="s">
        <v>138</v>
      </c>
      <c r="L266" s="1" t="s">
        <v>17</v>
      </c>
      <c r="M266" s="1" t="s">
        <v>122</v>
      </c>
      <c r="N266"/>
    </row>
    <row r="267" spans="1:14" x14ac:dyDescent="0.25">
      <c r="A267" s="1" t="s">
        <v>498</v>
      </c>
      <c r="B267" s="1" t="s">
        <v>140</v>
      </c>
      <c r="C267" s="5">
        <v>44651</v>
      </c>
      <c r="D267" s="6">
        <f t="shared" si="12"/>
        <v>44651</v>
      </c>
      <c r="E267" s="1" t="s">
        <v>11</v>
      </c>
      <c r="F267" s="1" t="s">
        <v>69</v>
      </c>
      <c r="G267" s="1">
        <v>2033</v>
      </c>
      <c r="H267" s="1" cm="1">
        <f t="array" ref="H267">IF(TRIM(G267)="",
   MEDIAN(IFERROR(--SUBSTITUTE(SUBSTITUTE(SUBSTITUTE(SUBSTITUTE(SUBSTITUTE(SUBSTITUTE(G$2:G$747,"Rs.",""),"INR",""),"₹",""),"â‚¹",""),"$","")," ",""),"")),
   IFERROR(--SUBSTITUTE(SUBSTITUTE(SUBSTITUTE(SUBSTITUTE(SUBSTITUTE(SUBSTITUTE(TRIM(G267),"Rs.",""),"INR",""),"₹",""),"â‚¹",""),"$","")," ",""),"")
)</f>
        <v>2033</v>
      </c>
      <c r="I267" s="1">
        <f t="shared" si="13"/>
        <v>2033</v>
      </c>
      <c r="J267" s="1" t="str">
        <f t="shared" si="14"/>
        <v>Nill</v>
      </c>
      <c r="K267" s="1" t="s">
        <v>53</v>
      </c>
      <c r="L267" s="1" t="s">
        <v>198</v>
      </c>
      <c r="M267" s="1" t="s">
        <v>190</v>
      </c>
      <c r="N267"/>
    </row>
    <row r="268" spans="1:14" x14ac:dyDescent="0.25">
      <c r="A268" s="1" t="s">
        <v>639</v>
      </c>
      <c r="B268" s="1" t="s">
        <v>608</v>
      </c>
      <c r="D268" s="6" t="str">
        <f t="shared" si="12"/>
        <v>unknown</v>
      </c>
      <c r="E268" s="1" t="s">
        <v>11</v>
      </c>
      <c r="F268" s="1" t="s">
        <v>69</v>
      </c>
      <c r="G268" s="1">
        <v>651</v>
      </c>
      <c r="H268" s="1" cm="1">
        <f t="array" ref="H268">IF(TRIM(G268)="",
   MEDIAN(IFERROR(--SUBSTITUTE(SUBSTITUTE(SUBSTITUTE(SUBSTITUTE(SUBSTITUTE(SUBSTITUTE(G$2:G$747,"Rs.",""),"INR",""),"₹",""),"â‚¹",""),"$","")," ",""),"")),
   IFERROR(--SUBSTITUTE(SUBSTITUTE(SUBSTITUTE(SUBSTITUTE(SUBSTITUTE(SUBSTITUTE(TRIM(G268),"Rs.",""),"INR",""),"₹",""),"â‚¹",""),"$","")," ",""),"")
)</f>
        <v>651</v>
      </c>
      <c r="I268" s="1">
        <f t="shared" si="13"/>
        <v>651</v>
      </c>
      <c r="J268" s="1" t="str">
        <f t="shared" si="14"/>
        <v>Nill</v>
      </c>
      <c r="K268" s="1" t="s">
        <v>25</v>
      </c>
      <c r="L268" s="1" t="s">
        <v>299</v>
      </c>
      <c r="M268" s="1" t="s">
        <v>113</v>
      </c>
      <c r="N268"/>
    </row>
    <row r="269" spans="1:14" x14ac:dyDescent="0.25">
      <c r="A269" s="1" t="s">
        <v>476</v>
      </c>
      <c r="B269" s="1" t="s">
        <v>206</v>
      </c>
      <c r="C269" s="1" t="s">
        <v>477</v>
      </c>
      <c r="D269" s="6">
        <f t="shared" si="12"/>
        <v>44462</v>
      </c>
      <c r="E269" s="1" t="s">
        <v>20</v>
      </c>
      <c r="F269" s="1" t="s">
        <v>21</v>
      </c>
      <c r="G269" s="1">
        <v>11650</v>
      </c>
      <c r="H269" s="1" cm="1">
        <f t="array" ref="H269">IF(TRIM(G269)="",
   MEDIAN(IFERROR(--SUBSTITUTE(SUBSTITUTE(SUBSTITUTE(SUBSTITUTE(SUBSTITUTE(SUBSTITUTE(G$2:G$747,"Rs.",""),"INR",""),"₹",""),"â‚¹",""),"$","")," ",""),"")),
   IFERROR(--SUBSTITUTE(SUBSTITUTE(SUBSTITUTE(SUBSTITUTE(SUBSTITUTE(SUBSTITUTE(TRIM(G269),"Rs.",""),"INR",""),"₹",""),"â‚¹",""),"$","")," ",""),"")
)</f>
        <v>11650</v>
      </c>
      <c r="I269" s="1" t="str">
        <f t="shared" si="13"/>
        <v>Nill</v>
      </c>
      <c r="J269" s="1">
        <f t="shared" si="14"/>
        <v>11650</v>
      </c>
      <c r="K269" s="1" t="s">
        <v>138</v>
      </c>
      <c r="L269" s="1" t="s">
        <v>17</v>
      </c>
      <c r="M269" s="1" t="s">
        <v>1253</v>
      </c>
      <c r="N269"/>
    </row>
    <row r="270" spans="1:14" x14ac:dyDescent="0.25">
      <c r="A270" s="1" t="s">
        <v>684</v>
      </c>
      <c r="B270" s="1" t="s">
        <v>67</v>
      </c>
      <c r="C270" s="1" t="s">
        <v>685</v>
      </c>
      <c r="D270" s="6">
        <f t="shared" si="12"/>
        <v>45215</v>
      </c>
      <c r="E270" s="1" t="s">
        <v>11</v>
      </c>
      <c r="F270" s="1" t="s">
        <v>249</v>
      </c>
      <c r="G270" s="1">
        <v>6278</v>
      </c>
      <c r="H270" s="1" cm="1">
        <f t="array" ref="H270">IF(TRIM(G270)="",
   MEDIAN(IFERROR(--SUBSTITUTE(SUBSTITUTE(SUBSTITUTE(SUBSTITUTE(SUBSTITUTE(SUBSTITUTE(G$2:G$747,"Rs.",""),"INR",""),"₹",""),"â‚¹",""),"$","")," ",""),"")),
   IFERROR(--SUBSTITUTE(SUBSTITUTE(SUBSTITUTE(SUBSTITUTE(SUBSTITUTE(SUBSTITUTE(TRIM(G270),"Rs.",""),"INR",""),"₹",""),"â‚¹",""),"$","")," ",""),"")
)</f>
        <v>6278</v>
      </c>
      <c r="I270" s="1">
        <f t="shared" si="13"/>
        <v>6278</v>
      </c>
      <c r="J270" s="1" t="str">
        <f t="shared" si="14"/>
        <v>Nill</v>
      </c>
      <c r="K270" s="1" t="s">
        <v>25</v>
      </c>
      <c r="L270" s="1" t="s">
        <v>17</v>
      </c>
      <c r="M270" s="1" t="s">
        <v>1253</v>
      </c>
      <c r="N270"/>
    </row>
    <row r="271" spans="1:14" x14ac:dyDescent="0.25">
      <c r="A271" s="1" t="s">
        <v>939</v>
      </c>
      <c r="B271" s="1" t="s">
        <v>197</v>
      </c>
      <c r="C271" s="5">
        <v>45613</v>
      </c>
      <c r="D271" s="6">
        <f t="shared" si="12"/>
        <v>45613</v>
      </c>
      <c r="E271" s="1" t="s">
        <v>11</v>
      </c>
      <c r="F271" s="1" t="s">
        <v>69</v>
      </c>
      <c r="G271" s="1">
        <v>6574</v>
      </c>
      <c r="H271" s="1" cm="1">
        <f t="array" ref="H271">IF(TRIM(G271)="",
   MEDIAN(IFERROR(--SUBSTITUTE(SUBSTITUTE(SUBSTITUTE(SUBSTITUTE(SUBSTITUTE(SUBSTITUTE(G$2:G$747,"Rs.",""),"INR",""),"₹",""),"â‚¹",""),"$","")," ",""),"")),
   IFERROR(--SUBSTITUTE(SUBSTITUTE(SUBSTITUTE(SUBSTITUTE(SUBSTITUTE(SUBSTITUTE(TRIM(G271),"Rs.",""),"INR",""),"₹",""),"â‚¹",""),"$","")," ",""),"")
)</f>
        <v>6574</v>
      </c>
      <c r="I271" s="1">
        <f t="shared" si="13"/>
        <v>6574</v>
      </c>
      <c r="J271" s="1" t="str">
        <f t="shared" si="14"/>
        <v>Nill</v>
      </c>
      <c r="K271" s="1" t="s">
        <v>87</v>
      </c>
      <c r="L271" s="1" t="s">
        <v>127</v>
      </c>
      <c r="M271" s="1" t="s">
        <v>210</v>
      </c>
      <c r="N271"/>
    </row>
    <row r="272" spans="1:14" x14ac:dyDescent="0.25">
      <c r="A272" s="1" t="s">
        <v>692</v>
      </c>
      <c r="B272" s="1" t="s">
        <v>61</v>
      </c>
      <c r="C272" s="5">
        <v>45441</v>
      </c>
      <c r="D272" s="6">
        <f t="shared" si="12"/>
        <v>45441</v>
      </c>
      <c r="E272" s="1" t="s">
        <v>11</v>
      </c>
      <c r="F272" s="1" t="s">
        <v>85</v>
      </c>
      <c r="G272" s="1" t="s">
        <v>693</v>
      </c>
      <c r="H272" s="1" cm="1">
        <f t="array" ref="H272">IF(TRIM(G272)="",
   MEDIAN(IFERROR(--SUBSTITUTE(SUBSTITUTE(SUBSTITUTE(SUBSTITUTE(SUBSTITUTE(SUBSTITUTE(G$2:G$747,"Rs.",""),"INR",""),"₹",""),"â‚¹",""),"$","")," ",""),"")),
   IFERROR(--SUBSTITUTE(SUBSTITUTE(SUBSTITUTE(SUBSTITUTE(SUBSTITUTE(SUBSTITUTE(TRIM(G272),"Rs.",""),"INR",""),"₹",""),"â‚¹",""),"$","")," ",""),"")
)</f>
        <v>7040</v>
      </c>
      <c r="I272" s="1">
        <f t="shared" si="13"/>
        <v>7040</v>
      </c>
      <c r="J272" s="1" t="str">
        <f t="shared" si="14"/>
        <v>Nill</v>
      </c>
      <c r="K272" s="1" t="s">
        <v>87</v>
      </c>
      <c r="L272" s="1" t="s">
        <v>97</v>
      </c>
      <c r="M272" s="1" t="s">
        <v>41</v>
      </c>
      <c r="N272"/>
    </row>
    <row r="273" spans="1:14" x14ac:dyDescent="0.25">
      <c r="A273" s="1" t="s">
        <v>346</v>
      </c>
      <c r="B273" s="1" t="s">
        <v>212</v>
      </c>
      <c r="C273" s="1" t="s">
        <v>347</v>
      </c>
      <c r="D273" s="6">
        <f t="shared" si="12"/>
        <v>44736</v>
      </c>
      <c r="E273" s="1" t="s">
        <v>11</v>
      </c>
      <c r="F273" s="1" t="s">
        <v>171</v>
      </c>
      <c r="G273" s="1">
        <v>34984</v>
      </c>
      <c r="H273" s="1" cm="1">
        <f t="array" ref="H273">IF(TRIM(G273)="",
   MEDIAN(IFERROR(--SUBSTITUTE(SUBSTITUTE(SUBSTITUTE(SUBSTITUTE(SUBSTITUTE(SUBSTITUTE(G$2:G$747,"Rs.",""),"INR",""),"₹",""),"â‚¹",""),"$","")," ",""),"")),
   IFERROR(--SUBSTITUTE(SUBSTITUTE(SUBSTITUTE(SUBSTITUTE(SUBSTITUTE(SUBSTITUTE(TRIM(G273),"Rs.",""),"INR",""),"₹",""),"â‚¹",""),"$","")," ",""),"")
)</f>
        <v>34984</v>
      </c>
      <c r="I273" s="1">
        <f t="shared" si="13"/>
        <v>34984</v>
      </c>
      <c r="J273" s="1" t="str">
        <f t="shared" si="14"/>
        <v>Nill</v>
      </c>
      <c r="K273" s="1" t="s">
        <v>87</v>
      </c>
      <c r="L273" s="1" t="s">
        <v>299</v>
      </c>
      <c r="M273" s="1" t="s">
        <v>210</v>
      </c>
      <c r="N273"/>
    </row>
    <row r="274" spans="1:14" x14ac:dyDescent="0.25">
      <c r="A274" s="1" t="s">
        <v>785</v>
      </c>
      <c r="B274" s="1" t="s">
        <v>37</v>
      </c>
      <c r="C274" s="5">
        <v>45180</v>
      </c>
      <c r="D274" s="6">
        <f t="shared" si="12"/>
        <v>45180</v>
      </c>
      <c r="E274" s="1" t="s">
        <v>11</v>
      </c>
      <c r="F274" s="1" t="s">
        <v>759</v>
      </c>
      <c r="G274" s="1">
        <v>7734</v>
      </c>
      <c r="H274" s="1" cm="1">
        <f t="array" ref="H274">IF(TRIM(G274)="",
   MEDIAN(IFERROR(--SUBSTITUTE(SUBSTITUTE(SUBSTITUTE(SUBSTITUTE(SUBSTITUTE(SUBSTITUTE(G$2:G$747,"Rs.",""),"INR",""),"₹",""),"â‚¹",""),"$","")," ",""),"")),
   IFERROR(--SUBSTITUTE(SUBSTITUTE(SUBSTITUTE(SUBSTITUTE(SUBSTITUTE(SUBSTITUTE(TRIM(G274),"Rs.",""),"INR",""),"₹",""),"â‚¹",""),"$","")," ",""),"")
)</f>
        <v>7734</v>
      </c>
      <c r="I274" s="1">
        <f t="shared" si="13"/>
        <v>7734</v>
      </c>
      <c r="J274" s="1" t="str">
        <f t="shared" si="14"/>
        <v>Nill</v>
      </c>
      <c r="K274" s="1" t="s">
        <v>204</v>
      </c>
      <c r="L274" s="1" t="s">
        <v>1252</v>
      </c>
      <c r="M274" s="1" t="s">
        <v>122</v>
      </c>
      <c r="N274"/>
    </row>
    <row r="275" spans="1:14" x14ac:dyDescent="0.25">
      <c r="A275" s="1" t="s">
        <v>514</v>
      </c>
      <c r="B275" s="1" t="s">
        <v>61</v>
      </c>
      <c r="C275" s="5">
        <v>44754</v>
      </c>
      <c r="D275" s="6">
        <f t="shared" si="12"/>
        <v>44754</v>
      </c>
      <c r="E275" s="1" t="s">
        <v>11</v>
      </c>
      <c r="F275" s="1" t="s">
        <v>1244</v>
      </c>
      <c r="G275" s="1">
        <v>7300</v>
      </c>
      <c r="H275" s="1" cm="1">
        <f t="array" ref="H275">IF(TRIM(G275)="",
   MEDIAN(IFERROR(--SUBSTITUTE(SUBSTITUTE(SUBSTITUTE(SUBSTITUTE(SUBSTITUTE(SUBSTITUTE(G$2:G$747,"Rs.",""),"INR",""),"₹",""),"â‚¹",""),"$","")," ",""),"")),
   IFERROR(--SUBSTITUTE(SUBSTITUTE(SUBSTITUTE(SUBSTITUTE(SUBSTITUTE(SUBSTITUTE(TRIM(G275),"Rs.",""),"INR",""),"₹",""),"â‚¹",""),"$","")," ",""),"")
)</f>
        <v>7300</v>
      </c>
      <c r="I275" s="1">
        <f t="shared" si="13"/>
        <v>7300</v>
      </c>
      <c r="J275" s="1" t="str">
        <f t="shared" si="14"/>
        <v>Nill</v>
      </c>
      <c r="K275" s="1" t="s">
        <v>25</v>
      </c>
      <c r="L275" s="1" t="s">
        <v>167</v>
      </c>
      <c r="M275" s="1" t="s">
        <v>1253</v>
      </c>
      <c r="N275"/>
    </row>
    <row r="276" spans="1:14" x14ac:dyDescent="0.25">
      <c r="A276" s="1" t="s">
        <v>339</v>
      </c>
      <c r="B276" s="1" t="s">
        <v>340</v>
      </c>
      <c r="C276" s="1" t="s">
        <v>341</v>
      </c>
      <c r="D276" s="6">
        <f t="shared" si="12"/>
        <v>44432</v>
      </c>
      <c r="E276" s="1" t="s">
        <v>11</v>
      </c>
      <c r="F276" s="1" t="s">
        <v>171</v>
      </c>
      <c r="G276" s="1">
        <v>3569</v>
      </c>
      <c r="H276" s="1" cm="1">
        <f t="array" ref="H276">IF(TRIM(G276)="",
   MEDIAN(IFERROR(--SUBSTITUTE(SUBSTITUTE(SUBSTITUTE(SUBSTITUTE(SUBSTITUTE(SUBSTITUTE(G$2:G$747,"Rs.",""),"INR",""),"₹",""),"â‚¹",""),"$","")," ",""),"")),
   IFERROR(--SUBSTITUTE(SUBSTITUTE(SUBSTITUTE(SUBSTITUTE(SUBSTITUTE(SUBSTITUTE(TRIM(G276),"Rs.",""),"INR",""),"₹",""),"â‚¹",""),"$","")," ",""),"")
)</f>
        <v>3569</v>
      </c>
      <c r="I276" s="1">
        <f t="shared" si="13"/>
        <v>3569</v>
      </c>
      <c r="J276" s="1" t="str">
        <f t="shared" si="14"/>
        <v>Nill</v>
      </c>
      <c r="K276" s="1" t="s">
        <v>204</v>
      </c>
      <c r="L276" s="1" t="s">
        <v>97</v>
      </c>
      <c r="M276" s="1" t="s">
        <v>128</v>
      </c>
      <c r="N276"/>
    </row>
    <row r="277" spans="1:14" x14ac:dyDescent="0.25">
      <c r="A277" s="1" t="s">
        <v>247</v>
      </c>
      <c r="B277" s="1" t="s">
        <v>248</v>
      </c>
      <c r="C277" s="5">
        <v>45551</v>
      </c>
      <c r="D277" s="6">
        <f t="shared" si="12"/>
        <v>45551</v>
      </c>
      <c r="E277" s="1" t="s">
        <v>11</v>
      </c>
      <c r="F277" s="1" t="s">
        <v>249</v>
      </c>
      <c r="G277" s="1">
        <v>3520</v>
      </c>
      <c r="H277" s="1" cm="1">
        <f t="array" ref="H277">IF(TRIM(G277)="",
   MEDIAN(IFERROR(--SUBSTITUTE(SUBSTITUTE(SUBSTITUTE(SUBSTITUTE(SUBSTITUTE(SUBSTITUTE(G$2:G$747,"Rs.",""),"INR",""),"₹",""),"â‚¹",""),"$","")," ",""),"")),
   IFERROR(--SUBSTITUTE(SUBSTITUTE(SUBSTITUTE(SUBSTITUTE(SUBSTITUTE(SUBSTITUTE(TRIM(G277),"Rs.",""),"INR",""),"₹",""),"â‚¹",""),"$","")," ",""),"")
)</f>
        <v>3520</v>
      </c>
      <c r="I277" s="1">
        <f t="shared" si="13"/>
        <v>3520</v>
      </c>
      <c r="J277" s="1" t="str">
        <f t="shared" si="14"/>
        <v>Nill</v>
      </c>
      <c r="K277" s="1" t="s">
        <v>138</v>
      </c>
      <c r="L277" s="1" t="s">
        <v>198</v>
      </c>
      <c r="M277" s="1" t="s">
        <v>35</v>
      </c>
      <c r="N277"/>
    </row>
    <row r="278" spans="1:14" x14ac:dyDescent="0.25">
      <c r="A278" s="1" t="s">
        <v>1049</v>
      </c>
      <c r="B278" s="1" t="s">
        <v>608</v>
      </c>
      <c r="C278" s="5">
        <v>45251</v>
      </c>
      <c r="D278" s="6">
        <f t="shared" si="12"/>
        <v>45251</v>
      </c>
      <c r="E278" s="1" t="s">
        <v>11</v>
      </c>
      <c r="F278" s="1" t="s">
        <v>158</v>
      </c>
      <c r="G278" s="1" t="s">
        <v>1050</v>
      </c>
      <c r="H278" s="1" cm="1">
        <f t="array" ref="H278">IF(TRIM(G278)="",
   MEDIAN(IFERROR(--SUBSTITUTE(SUBSTITUTE(SUBSTITUTE(SUBSTITUTE(SUBSTITUTE(SUBSTITUTE(G$2:G$747,"Rs.",""),"INR",""),"₹",""),"â‚¹",""),"$","")," ",""),"")),
   IFERROR(--SUBSTITUTE(SUBSTITUTE(SUBSTITUTE(SUBSTITUTE(SUBSTITUTE(SUBSTITUTE(TRIM(G278),"Rs.",""),"INR",""),"₹",""),"â‚¹",""),"$","")," ",""),"")
)</f>
        <v>6062</v>
      </c>
      <c r="I278" s="1">
        <f t="shared" si="13"/>
        <v>6062</v>
      </c>
      <c r="J278" s="1" t="str">
        <f t="shared" si="14"/>
        <v>Nill</v>
      </c>
      <c r="K278" s="1" t="s">
        <v>25</v>
      </c>
      <c r="L278" s="1" t="s">
        <v>40</v>
      </c>
      <c r="M278" s="1" t="s">
        <v>1253</v>
      </c>
      <c r="N278"/>
    </row>
    <row r="279" spans="1:14" x14ac:dyDescent="0.25">
      <c r="A279" s="1" t="s">
        <v>826</v>
      </c>
      <c r="B279" s="1" t="s">
        <v>279</v>
      </c>
      <c r="C279" s="5">
        <v>44687</v>
      </c>
      <c r="D279" s="6">
        <f t="shared" si="12"/>
        <v>44687</v>
      </c>
      <c r="E279" s="1" t="s">
        <v>11</v>
      </c>
      <c r="F279" s="1" t="s">
        <v>69</v>
      </c>
      <c r="G279" s="1">
        <v>9636</v>
      </c>
      <c r="H279" s="1" cm="1">
        <f t="array" ref="H279">IF(TRIM(G279)="",
   MEDIAN(IFERROR(--SUBSTITUTE(SUBSTITUTE(SUBSTITUTE(SUBSTITUTE(SUBSTITUTE(SUBSTITUTE(G$2:G$747,"Rs.",""),"INR",""),"₹",""),"â‚¹",""),"$","")," ",""),"")),
   IFERROR(--SUBSTITUTE(SUBSTITUTE(SUBSTITUTE(SUBSTITUTE(SUBSTITUTE(SUBSTITUTE(TRIM(G279),"Rs.",""),"INR",""),"₹",""),"â‚¹",""),"$","")," ",""),"")
)</f>
        <v>9636</v>
      </c>
      <c r="I279" s="1">
        <f t="shared" si="13"/>
        <v>9636</v>
      </c>
      <c r="J279" s="1" t="str">
        <f t="shared" si="14"/>
        <v>Nill</v>
      </c>
      <c r="K279" s="1" t="s">
        <v>138</v>
      </c>
      <c r="L279" s="1" t="s">
        <v>198</v>
      </c>
      <c r="M279" s="1" t="s">
        <v>49</v>
      </c>
      <c r="N279"/>
    </row>
    <row r="280" spans="1:14" x14ac:dyDescent="0.25">
      <c r="A280" s="1" t="s">
        <v>815</v>
      </c>
      <c r="B280" s="1" t="s">
        <v>212</v>
      </c>
      <c r="C280" s="1" t="s">
        <v>816</v>
      </c>
      <c r="D280" s="6">
        <f t="shared" si="12"/>
        <v>45255</v>
      </c>
      <c r="E280" s="1" t="s">
        <v>11</v>
      </c>
      <c r="F280" s="1" t="s">
        <v>85</v>
      </c>
      <c r="G280" s="1">
        <v>5535</v>
      </c>
      <c r="H280" s="1" cm="1">
        <f t="array" ref="H280">IF(TRIM(G280)="",
   MEDIAN(IFERROR(--SUBSTITUTE(SUBSTITUTE(SUBSTITUTE(SUBSTITUTE(SUBSTITUTE(SUBSTITUTE(G$2:G$747,"Rs.",""),"INR",""),"₹",""),"â‚¹",""),"$","")," ",""),"")),
   IFERROR(--SUBSTITUTE(SUBSTITUTE(SUBSTITUTE(SUBSTITUTE(SUBSTITUTE(SUBSTITUTE(TRIM(G280),"Rs.",""),"INR",""),"₹",""),"â‚¹",""),"$","")," ",""),"")
)</f>
        <v>5535</v>
      </c>
      <c r="I280" s="1">
        <f t="shared" si="13"/>
        <v>5535</v>
      </c>
      <c r="J280" s="1" t="str">
        <f t="shared" si="14"/>
        <v>Nill</v>
      </c>
      <c r="K280" s="1" t="s">
        <v>12</v>
      </c>
      <c r="L280" s="1" t="s">
        <v>97</v>
      </c>
      <c r="M280" s="1" t="s">
        <v>133</v>
      </c>
      <c r="N280"/>
    </row>
    <row r="281" spans="1:14" x14ac:dyDescent="0.25">
      <c r="A281" s="1" t="s">
        <v>550</v>
      </c>
      <c r="B281" s="1" t="s">
        <v>551</v>
      </c>
      <c r="C281" s="5">
        <v>44897</v>
      </c>
      <c r="D281" s="6">
        <f t="shared" si="12"/>
        <v>44897</v>
      </c>
      <c r="E281" s="1" t="s">
        <v>20</v>
      </c>
      <c r="F281" s="1" t="s">
        <v>21</v>
      </c>
      <c r="G281" s="1">
        <v>14180</v>
      </c>
      <c r="H281" s="1" cm="1">
        <f t="array" ref="H281">IF(TRIM(G281)="",
   MEDIAN(IFERROR(--SUBSTITUTE(SUBSTITUTE(SUBSTITUTE(SUBSTITUTE(SUBSTITUTE(SUBSTITUTE(G$2:G$747,"Rs.",""),"INR",""),"₹",""),"â‚¹",""),"$","")," ",""),"")),
   IFERROR(--SUBSTITUTE(SUBSTITUTE(SUBSTITUTE(SUBSTITUTE(SUBSTITUTE(SUBSTITUTE(TRIM(G281),"Rs.",""),"INR",""),"₹",""),"â‚¹",""),"$","")," ",""),"")
)</f>
        <v>14180</v>
      </c>
      <c r="I281" s="1" t="str">
        <f t="shared" si="13"/>
        <v>Nill</v>
      </c>
      <c r="J281" s="1">
        <f t="shared" si="14"/>
        <v>14180</v>
      </c>
      <c r="K281" s="1" t="s">
        <v>138</v>
      </c>
      <c r="L281" s="1" t="s">
        <v>198</v>
      </c>
      <c r="M281" s="1" t="s">
        <v>128</v>
      </c>
      <c r="N281"/>
    </row>
    <row r="282" spans="1:14" x14ac:dyDescent="0.25">
      <c r="A282" s="1" t="s">
        <v>897</v>
      </c>
      <c r="B282" s="1" t="s">
        <v>410</v>
      </c>
      <c r="C282" s="5">
        <v>44204</v>
      </c>
      <c r="D282" s="6">
        <f t="shared" si="12"/>
        <v>44204</v>
      </c>
      <c r="E282" s="1" t="s">
        <v>11</v>
      </c>
      <c r="F282" s="1" t="s">
        <v>85</v>
      </c>
      <c r="G282" s="1">
        <v>384</v>
      </c>
      <c r="H282" s="1" cm="1">
        <f t="array" ref="H282">IF(TRIM(G282)="",
   MEDIAN(IFERROR(--SUBSTITUTE(SUBSTITUTE(SUBSTITUTE(SUBSTITUTE(SUBSTITUTE(SUBSTITUTE(G$2:G$747,"Rs.",""),"INR",""),"₹",""),"â‚¹",""),"$","")," ",""),"")),
   IFERROR(--SUBSTITUTE(SUBSTITUTE(SUBSTITUTE(SUBSTITUTE(SUBSTITUTE(SUBSTITUTE(TRIM(G282),"Rs.",""),"INR",""),"₹",""),"â‚¹",""),"$","")," ",""),"")
)</f>
        <v>384</v>
      </c>
      <c r="I282" s="1">
        <f t="shared" si="13"/>
        <v>384</v>
      </c>
      <c r="J282" s="1" t="str">
        <f t="shared" si="14"/>
        <v>Nill</v>
      </c>
      <c r="K282" s="1" t="s">
        <v>25</v>
      </c>
      <c r="L282" s="1" t="s">
        <v>127</v>
      </c>
      <c r="M282" s="1" t="s">
        <v>113</v>
      </c>
      <c r="N282"/>
    </row>
    <row r="283" spans="1:14" x14ac:dyDescent="0.25">
      <c r="A283" s="1" t="s">
        <v>1093</v>
      </c>
      <c r="B283" s="1" t="s">
        <v>197</v>
      </c>
      <c r="C283" s="5">
        <v>44717</v>
      </c>
      <c r="D283" s="6">
        <f t="shared" si="12"/>
        <v>44717</v>
      </c>
      <c r="E283" s="1" t="s">
        <v>11</v>
      </c>
      <c r="F283" s="1" t="s">
        <v>69</v>
      </c>
      <c r="G283" s="1" t="s">
        <v>1094</v>
      </c>
      <c r="H283" s="1" cm="1">
        <f t="array" ref="H283">IF(TRIM(G283)="",
   MEDIAN(IFERROR(--SUBSTITUTE(SUBSTITUTE(SUBSTITUTE(SUBSTITUTE(SUBSTITUTE(SUBSTITUTE(G$2:G$747,"Rs.",""),"INR",""),"₹",""),"â‚¹",""),"$","")," ",""),"")),
   IFERROR(--SUBSTITUTE(SUBSTITUTE(SUBSTITUTE(SUBSTITUTE(SUBSTITUTE(SUBSTITUTE(TRIM(G283),"Rs.",""),"INR",""),"₹",""),"â‚¹",""),"$","")," ",""),"")
)</f>
        <v>773</v>
      </c>
      <c r="I283" s="1">
        <f t="shared" si="13"/>
        <v>773</v>
      </c>
      <c r="J283" s="1" t="str">
        <f t="shared" si="14"/>
        <v>Nill</v>
      </c>
      <c r="K283" s="1" t="s">
        <v>138</v>
      </c>
      <c r="L283" s="1" t="s">
        <v>97</v>
      </c>
      <c r="M283" s="1" t="s">
        <v>241</v>
      </c>
      <c r="N283"/>
    </row>
    <row r="284" spans="1:14" x14ac:dyDescent="0.25">
      <c r="A284" s="1" t="s">
        <v>1078</v>
      </c>
      <c r="B284" s="1" t="s">
        <v>160</v>
      </c>
      <c r="C284" s="5">
        <v>44688</v>
      </c>
      <c r="D284" s="6">
        <f t="shared" si="12"/>
        <v>44688</v>
      </c>
      <c r="E284" s="1" t="s">
        <v>11</v>
      </c>
      <c r="F284" s="1" t="s">
        <v>69</v>
      </c>
      <c r="G284" s="1">
        <v>845</v>
      </c>
      <c r="H284" s="1" cm="1">
        <f t="array" ref="H284">IF(TRIM(G284)="",
   MEDIAN(IFERROR(--SUBSTITUTE(SUBSTITUTE(SUBSTITUTE(SUBSTITUTE(SUBSTITUTE(SUBSTITUTE(G$2:G$747,"Rs.",""),"INR",""),"₹",""),"â‚¹",""),"$","")," ",""),"")),
   IFERROR(--SUBSTITUTE(SUBSTITUTE(SUBSTITUTE(SUBSTITUTE(SUBSTITUTE(SUBSTITUTE(TRIM(G284),"Rs.",""),"INR",""),"₹",""),"â‚¹",""),"$","")," ",""),"")
)</f>
        <v>845</v>
      </c>
      <c r="I284" s="1">
        <f t="shared" si="13"/>
        <v>845</v>
      </c>
      <c r="J284" s="1" t="str">
        <f t="shared" si="14"/>
        <v>Nill</v>
      </c>
      <c r="K284" s="1" t="s">
        <v>12</v>
      </c>
      <c r="L284" s="1" t="s">
        <v>299</v>
      </c>
      <c r="M284" s="1" t="s">
        <v>54</v>
      </c>
      <c r="N284"/>
    </row>
    <row r="285" spans="1:14" x14ac:dyDescent="0.25">
      <c r="A285" s="1" t="s">
        <v>650</v>
      </c>
      <c r="B285" s="1" t="s">
        <v>484</v>
      </c>
      <c r="C285" s="5">
        <v>44902</v>
      </c>
      <c r="D285" s="6">
        <f t="shared" si="12"/>
        <v>44902</v>
      </c>
      <c r="E285" s="1" t="s">
        <v>20</v>
      </c>
      <c r="F285" s="1" t="s">
        <v>21</v>
      </c>
      <c r="G285" s="1">
        <v>57170</v>
      </c>
      <c r="H285" s="1" cm="1">
        <f t="array" ref="H285">IF(TRIM(G285)="",
   MEDIAN(IFERROR(--SUBSTITUTE(SUBSTITUTE(SUBSTITUTE(SUBSTITUTE(SUBSTITUTE(SUBSTITUTE(G$2:G$747,"Rs.",""),"INR",""),"₹",""),"â‚¹",""),"$","")," ",""),"")),
   IFERROR(--SUBSTITUTE(SUBSTITUTE(SUBSTITUTE(SUBSTITUTE(SUBSTITUTE(SUBSTITUTE(TRIM(G285),"Rs.",""),"INR",""),"₹",""),"â‚¹",""),"$","")," ",""),"")
)</f>
        <v>57170</v>
      </c>
      <c r="I285" s="1" t="str">
        <f t="shared" si="13"/>
        <v>Nill</v>
      </c>
      <c r="J285" s="1">
        <f t="shared" si="14"/>
        <v>57170</v>
      </c>
      <c r="K285" s="1" t="s">
        <v>87</v>
      </c>
      <c r="L285" s="1" t="s">
        <v>127</v>
      </c>
      <c r="M285" s="1" t="s">
        <v>14</v>
      </c>
      <c r="N285"/>
    </row>
    <row r="286" spans="1:14" x14ac:dyDescent="0.25">
      <c r="A286" s="1" t="s">
        <v>907</v>
      </c>
      <c r="B286" s="1" t="s">
        <v>402</v>
      </c>
      <c r="C286" s="1" t="s">
        <v>908</v>
      </c>
      <c r="D286" s="6">
        <f t="shared" si="12"/>
        <v>44428</v>
      </c>
      <c r="E286" s="1" t="s">
        <v>11</v>
      </c>
      <c r="F286" s="1" t="s">
        <v>69</v>
      </c>
      <c r="G286" s="1">
        <v>236</v>
      </c>
      <c r="H286" s="1" cm="1">
        <f t="array" ref="H286">IF(TRIM(G286)="",
   MEDIAN(IFERROR(--SUBSTITUTE(SUBSTITUTE(SUBSTITUTE(SUBSTITUTE(SUBSTITUTE(SUBSTITUTE(G$2:G$747,"Rs.",""),"INR",""),"₹",""),"â‚¹",""),"$","")," ",""),"")),
   IFERROR(--SUBSTITUTE(SUBSTITUTE(SUBSTITUTE(SUBSTITUTE(SUBSTITUTE(SUBSTITUTE(TRIM(G286),"Rs.",""),"INR",""),"₹",""),"â‚¹",""),"$","")," ",""),"")
)</f>
        <v>236</v>
      </c>
      <c r="I286" s="1">
        <f t="shared" si="13"/>
        <v>236</v>
      </c>
      <c r="J286" s="1" t="str">
        <f t="shared" si="14"/>
        <v>Nill</v>
      </c>
      <c r="K286" s="1" t="s">
        <v>261</v>
      </c>
      <c r="L286" s="1" t="s">
        <v>1252</v>
      </c>
      <c r="M286" s="1" t="s">
        <v>128</v>
      </c>
      <c r="N286"/>
    </row>
    <row r="287" spans="1:14" x14ac:dyDescent="0.25">
      <c r="A287" s="1" t="s">
        <v>829</v>
      </c>
      <c r="B287" s="1" t="s">
        <v>92</v>
      </c>
      <c r="C287" s="1" t="s">
        <v>830</v>
      </c>
      <c r="D287" s="6">
        <f t="shared" si="12"/>
        <v>45192</v>
      </c>
      <c r="E287" s="1" t="s">
        <v>11</v>
      </c>
      <c r="F287" s="1" t="s">
        <v>465</v>
      </c>
      <c r="G287" s="1">
        <v>5447</v>
      </c>
      <c r="H287" s="1" cm="1">
        <f t="array" ref="H287">IF(TRIM(G287)="",
   MEDIAN(IFERROR(--SUBSTITUTE(SUBSTITUTE(SUBSTITUTE(SUBSTITUTE(SUBSTITUTE(SUBSTITUTE(G$2:G$747,"Rs.",""),"INR",""),"₹",""),"â‚¹",""),"$","")," ",""),"")),
   IFERROR(--SUBSTITUTE(SUBSTITUTE(SUBSTITUTE(SUBSTITUTE(SUBSTITUTE(SUBSTITUTE(TRIM(G287),"Rs.",""),"INR",""),"₹",""),"â‚¹",""),"$","")," ",""),"")
)</f>
        <v>5447</v>
      </c>
      <c r="I287" s="1">
        <f t="shared" si="13"/>
        <v>5447</v>
      </c>
      <c r="J287" s="1" t="str">
        <f t="shared" si="14"/>
        <v>Nill</v>
      </c>
      <c r="K287" s="1" t="s">
        <v>172</v>
      </c>
      <c r="L287" s="1" t="s">
        <v>198</v>
      </c>
      <c r="M287" s="1" t="s">
        <v>117</v>
      </c>
      <c r="N287"/>
    </row>
    <row r="288" spans="1:14" x14ac:dyDescent="0.25">
      <c r="A288" s="1" t="s">
        <v>1076</v>
      </c>
      <c r="B288" s="1" t="s">
        <v>74</v>
      </c>
      <c r="C288" s="1" t="s">
        <v>1077</v>
      </c>
      <c r="D288" s="6">
        <f t="shared" si="12"/>
        <v>44339</v>
      </c>
      <c r="E288" s="1" t="s">
        <v>11</v>
      </c>
      <c r="F288" s="1" t="s">
        <v>171</v>
      </c>
      <c r="G288" s="1">
        <v>-1000</v>
      </c>
      <c r="H288" s="1" cm="1">
        <f t="array" ref="H288">IF(TRIM(G288)="",
   MEDIAN(IFERROR(--SUBSTITUTE(SUBSTITUTE(SUBSTITUTE(SUBSTITUTE(SUBSTITUTE(SUBSTITUTE(G$2:G$747,"Rs.",""),"INR",""),"₹",""),"â‚¹",""),"$","")," ",""),"")),
   IFERROR(--SUBSTITUTE(SUBSTITUTE(SUBSTITUTE(SUBSTITUTE(SUBSTITUTE(SUBSTITUTE(TRIM(G288),"Rs.",""),"INR",""),"₹",""),"â‚¹",""),"$","")," ",""),"")
)</f>
        <v>-1000</v>
      </c>
      <c r="I288" s="1">
        <f t="shared" si="13"/>
        <v>-1000</v>
      </c>
      <c r="J288" s="1" t="str">
        <f t="shared" si="14"/>
        <v>Nill</v>
      </c>
      <c r="K288" s="1" t="s">
        <v>12</v>
      </c>
      <c r="L288" s="1" t="s">
        <v>127</v>
      </c>
      <c r="M288" s="1" t="s">
        <v>1253</v>
      </c>
      <c r="N288"/>
    </row>
    <row r="289" spans="1:14" x14ac:dyDescent="0.25">
      <c r="A289" s="1" t="s">
        <v>303</v>
      </c>
      <c r="B289" s="1" t="s">
        <v>230</v>
      </c>
      <c r="C289" s="1" t="s">
        <v>304</v>
      </c>
      <c r="D289" s="6">
        <f t="shared" si="12"/>
        <v>44737</v>
      </c>
      <c r="E289" s="1" t="s">
        <v>11</v>
      </c>
      <c r="F289" s="1" t="s">
        <v>30</v>
      </c>
      <c r="G289" s="1">
        <v>4114</v>
      </c>
      <c r="H289" s="1" cm="1">
        <f t="array" ref="H289">IF(TRIM(G289)="",
   MEDIAN(IFERROR(--SUBSTITUTE(SUBSTITUTE(SUBSTITUTE(SUBSTITUTE(SUBSTITUTE(SUBSTITUTE(G$2:G$747,"Rs.",""),"INR",""),"₹",""),"â‚¹",""),"$","")," ",""),"")),
   IFERROR(--SUBSTITUTE(SUBSTITUTE(SUBSTITUTE(SUBSTITUTE(SUBSTITUTE(SUBSTITUTE(TRIM(G289),"Rs.",""),"INR",""),"₹",""),"â‚¹",""),"$","")," ",""),"")
)</f>
        <v>4114</v>
      </c>
      <c r="I289" s="1">
        <f t="shared" si="13"/>
        <v>4114</v>
      </c>
      <c r="J289" s="1" t="str">
        <f t="shared" si="14"/>
        <v>Nill</v>
      </c>
      <c r="K289" s="1" t="s">
        <v>172</v>
      </c>
      <c r="L289" s="1" t="s">
        <v>127</v>
      </c>
      <c r="M289" s="1" t="s">
        <v>252</v>
      </c>
      <c r="N289"/>
    </row>
    <row r="290" spans="1:14" x14ac:dyDescent="0.25">
      <c r="A290" s="1" t="s">
        <v>864</v>
      </c>
      <c r="B290" s="1" t="s">
        <v>438</v>
      </c>
      <c r="C290" s="1" t="s">
        <v>865</v>
      </c>
      <c r="D290" s="6">
        <f t="shared" si="12"/>
        <v>44345</v>
      </c>
      <c r="E290" s="1" t="s">
        <v>11</v>
      </c>
      <c r="F290" s="1" t="s">
        <v>171</v>
      </c>
      <c r="G290" s="1">
        <v>9757</v>
      </c>
      <c r="H290" s="1" cm="1">
        <f t="array" ref="H290">IF(TRIM(G290)="",
   MEDIAN(IFERROR(--SUBSTITUTE(SUBSTITUTE(SUBSTITUTE(SUBSTITUTE(SUBSTITUTE(SUBSTITUTE(G$2:G$747,"Rs.",""),"INR",""),"₹",""),"â‚¹",""),"$","")," ",""),"")),
   IFERROR(--SUBSTITUTE(SUBSTITUTE(SUBSTITUTE(SUBSTITUTE(SUBSTITUTE(SUBSTITUTE(TRIM(G290),"Rs.",""),"INR",""),"₹",""),"â‚¹",""),"$","")," ",""),"")
)</f>
        <v>9757</v>
      </c>
      <c r="I290" s="1">
        <f t="shared" si="13"/>
        <v>9757</v>
      </c>
      <c r="J290" s="1" t="str">
        <f t="shared" si="14"/>
        <v>Nill</v>
      </c>
      <c r="K290" s="1" t="s">
        <v>25</v>
      </c>
      <c r="L290" s="1" t="s">
        <v>17</v>
      </c>
      <c r="M290" s="1" t="s">
        <v>1253</v>
      </c>
      <c r="N290"/>
    </row>
    <row r="291" spans="1:14" x14ac:dyDescent="0.25">
      <c r="A291" s="1" t="s">
        <v>707</v>
      </c>
      <c r="B291" s="1" t="s">
        <v>24</v>
      </c>
      <c r="C291" s="5">
        <v>45445</v>
      </c>
      <c r="D291" s="6">
        <f t="shared" si="12"/>
        <v>45445</v>
      </c>
      <c r="E291" s="1" t="s">
        <v>11</v>
      </c>
      <c r="F291" s="1" t="s">
        <v>158</v>
      </c>
      <c r="G291" s="1">
        <v>2715</v>
      </c>
      <c r="H291" s="1" cm="1">
        <f t="array" ref="H291">IF(TRIM(G291)="",
   MEDIAN(IFERROR(--SUBSTITUTE(SUBSTITUTE(SUBSTITUTE(SUBSTITUTE(SUBSTITUTE(SUBSTITUTE(G$2:G$747,"Rs.",""),"INR",""),"₹",""),"â‚¹",""),"$","")," ",""),"")),
   IFERROR(--SUBSTITUTE(SUBSTITUTE(SUBSTITUTE(SUBSTITUTE(SUBSTITUTE(SUBSTITUTE(TRIM(G291),"Rs.",""),"INR",""),"₹",""),"â‚¹",""),"$","")," ",""),"")
)</f>
        <v>2715</v>
      </c>
      <c r="I291" s="1">
        <f t="shared" si="13"/>
        <v>2715</v>
      </c>
      <c r="J291" s="1" t="str">
        <f t="shared" si="14"/>
        <v>Nill</v>
      </c>
      <c r="K291" s="1" t="s">
        <v>12</v>
      </c>
      <c r="L291" s="1" t="s">
        <v>13</v>
      </c>
      <c r="M291" s="1" t="s">
        <v>1253</v>
      </c>
      <c r="N291"/>
    </row>
    <row r="292" spans="1:14" x14ac:dyDescent="0.25">
      <c r="A292" s="1" t="s">
        <v>1113</v>
      </c>
      <c r="B292" s="1" t="s">
        <v>678</v>
      </c>
      <c r="C292" s="1" t="s">
        <v>946</v>
      </c>
      <c r="D292" s="6">
        <f t="shared" si="12"/>
        <v>44340</v>
      </c>
      <c r="E292" s="1" t="s">
        <v>11</v>
      </c>
      <c r="F292" s="1" t="s">
        <v>30</v>
      </c>
      <c r="G292" s="1">
        <v>2583</v>
      </c>
      <c r="H292" s="1" cm="1">
        <f t="array" ref="H292">IF(TRIM(G292)="",
   MEDIAN(IFERROR(--SUBSTITUTE(SUBSTITUTE(SUBSTITUTE(SUBSTITUTE(SUBSTITUTE(SUBSTITUTE(G$2:G$747,"Rs.",""),"INR",""),"₹",""),"â‚¹",""),"$","")," ",""),"")),
   IFERROR(--SUBSTITUTE(SUBSTITUTE(SUBSTITUTE(SUBSTITUTE(SUBSTITUTE(SUBSTITUTE(TRIM(G292),"Rs.",""),"INR",""),"₹",""),"â‚¹",""),"$","")," ",""),"")
)</f>
        <v>2583</v>
      </c>
      <c r="I292" s="1">
        <f t="shared" si="13"/>
        <v>2583</v>
      </c>
      <c r="J292" s="1" t="str">
        <f t="shared" si="14"/>
        <v>Nill</v>
      </c>
      <c r="K292" s="1" t="s">
        <v>25</v>
      </c>
      <c r="L292" s="1" t="s">
        <v>1252</v>
      </c>
      <c r="M292" s="1" t="s">
        <v>88</v>
      </c>
      <c r="N292"/>
    </row>
    <row r="293" spans="1:14" x14ac:dyDescent="0.25">
      <c r="A293" s="1" t="s">
        <v>548</v>
      </c>
      <c r="B293" s="1" t="s">
        <v>46</v>
      </c>
      <c r="C293" s="5">
        <v>44243</v>
      </c>
      <c r="D293" s="6">
        <f t="shared" si="12"/>
        <v>44243</v>
      </c>
      <c r="E293" s="1" t="s">
        <v>20</v>
      </c>
      <c r="F293" s="1" t="s">
        <v>112</v>
      </c>
      <c r="G293" s="1" t="s">
        <v>549</v>
      </c>
      <c r="H293" s="1" cm="1">
        <f t="array" ref="H293">IF(TRIM(G293)="",
   MEDIAN(IFERROR(--SUBSTITUTE(SUBSTITUTE(SUBSTITUTE(SUBSTITUTE(SUBSTITUTE(SUBSTITUTE(G$2:G$747,"Rs.",""),"INR",""),"₹",""),"â‚¹",""),"$","")," ",""),"")),
   IFERROR(--SUBSTITUTE(SUBSTITUTE(SUBSTITUTE(SUBSTITUTE(SUBSTITUTE(SUBSTITUTE(TRIM(G293),"Rs.",""),"INR",""),"₹",""),"â‚¹",""),"$","")," ",""),"")
)</f>
        <v>74630</v>
      </c>
      <c r="I293" s="1" t="str">
        <f t="shared" si="13"/>
        <v>Nill</v>
      </c>
      <c r="J293" s="1">
        <f t="shared" si="14"/>
        <v>74630</v>
      </c>
      <c r="K293" s="1" t="s">
        <v>25</v>
      </c>
      <c r="L293" s="1" t="s">
        <v>13</v>
      </c>
      <c r="M293" s="1" t="s">
        <v>1253</v>
      </c>
      <c r="N293"/>
    </row>
    <row r="294" spans="1:14" x14ac:dyDescent="0.25">
      <c r="A294" s="1" t="s">
        <v>282</v>
      </c>
      <c r="B294" s="1" t="s">
        <v>283</v>
      </c>
      <c r="C294" s="1" t="s">
        <v>284</v>
      </c>
      <c r="D294" s="6">
        <f t="shared" si="12"/>
        <v>45534</v>
      </c>
      <c r="E294" s="1" t="s">
        <v>11</v>
      </c>
      <c r="F294" s="1" t="s">
        <v>249</v>
      </c>
      <c r="G294" s="1">
        <v>527</v>
      </c>
      <c r="H294" s="1" cm="1">
        <f t="array" ref="H294">IF(TRIM(G294)="",
   MEDIAN(IFERROR(--SUBSTITUTE(SUBSTITUTE(SUBSTITUTE(SUBSTITUTE(SUBSTITUTE(SUBSTITUTE(G$2:G$747,"Rs.",""),"INR",""),"₹",""),"â‚¹",""),"$","")," ",""),"")),
   IFERROR(--SUBSTITUTE(SUBSTITUTE(SUBSTITUTE(SUBSTITUTE(SUBSTITUTE(SUBSTITUTE(TRIM(G294),"Rs.",""),"INR",""),"₹",""),"â‚¹",""),"$","")," ",""),"")
)</f>
        <v>527</v>
      </c>
      <c r="I294" s="1">
        <f t="shared" si="13"/>
        <v>527</v>
      </c>
      <c r="J294" s="1" t="str">
        <f t="shared" si="14"/>
        <v>Nill</v>
      </c>
      <c r="K294" s="1" t="s">
        <v>138</v>
      </c>
      <c r="L294" s="1" t="s">
        <v>198</v>
      </c>
      <c r="M294" s="1" t="s">
        <v>1253</v>
      </c>
      <c r="N294"/>
    </row>
    <row r="295" spans="1:14" x14ac:dyDescent="0.25">
      <c r="A295" s="1" t="s">
        <v>178</v>
      </c>
      <c r="B295" s="1" t="s">
        <v>130</v>
      </c>
      <c r="C295" s="5">
        <v>44473</v>
      </c>
      <c r="D295" s="6">
        <f t="shared" si="12"/>
        <v>44473</v>
      </c>
      <c r="E295" s="1" t="s">
        <v>11</v>
      </c>
      <c r="F295" s="1" t="s">
        <v>249</v>
      </c>
      <c r="G295" s="1">
        <v>601</v>
      </c>
      <c r="H295" s="1" cm="1">
        <f t="array" ref="H295">IF(TRIM(G295)="",
   MEDIAN(IFERROR(--SUBSTITUTE(SUBSTITUTE(SUBSTITUTE(SUBSTITUTE(SUBSTITUTE(SUBSTITUTE(G$2:G$747,"Rs.",""),"INR",""),"₹",""),"â‚¹",""),"$","")," ",""),"")),
   IFERROR(--SUBSTITUTE(SUBSTITUTE(SUBSTITUTE(SUBSTITUTE(SUBSTITUTE(SUBSTITUTE(TRIM(G295),"Rs.",""),"INR",""),"₹",""),"â‚¹",""),"$","")," ",""),"")
)</f>
        <v>601</v>
      </c>
      <c r="I295" s="1">
        <f t="shared" si="13"/>
        <v>601</v>
      </c>
      <c r="J295" s="1" t="str">
        <f t="shared" si="14"/>
        <v>Nill</v>
      </c>
      <c r="K295" s="1" t="s">
        <v>75</v>
      </c>
      <c r="L295" s="1" t="s">
        <v>97</v>
      </c>
      <c r="M295" s="1" t="s">
        <v>179</v>
      </c>
      <c r="N295"/>
    </row>
    <row r="296" spans="1:14" x14ac:dyDescent="0.25">
      <c r="A296" s="1" t="s">
        <v>187</v>
      </c>
      <c r="B296" s="1" t="s">
        <v>153</v>
      </c>
      <c r="C296" s="1" t="s">
        <v>188</v>
      </c>
      <c r="D296" s="6">
        <f t="shared" si="12"/>
        <v>44669</v>
      </c>
      <c r="E296" s="1" t="s">
        <v>11</v>
      </c>
      <c r="F296" s="1" t="s">
        <v>249</v>
      </c>
      <c r="G296" s="1" t="s">
        <v>189</v>
      </c>
      <c r="H296" s="1" cm="1">
        <f t="array" ref="H296">IF(TRIM(G296)="",
   MEDIAN(IFERROR(--SUBSTITUTE(SUBSTITUTE(SUBSTITUTE(SUBSTITUTE(SUBSTITUTE(SUBSTITUTE(G$2:G$747,"Rs.",""),"INR",""),"₹",""),"â‚¹",""),"$","")," ",""),"")),
   IFERROR(--SUBSTITUTE(SUBSTITUTE(SUBSTITUTE(SUBSTITUTE(SUBSTITUTE(SUBSTITUTE(TRIM(G296),"Rs.",""),"INR",""),"₹",""),"â‚¹",""),"$","")," ",""),"")
)</f>
        <v>5554</v>
      </c>
      <c r="I296" s="1">
        <f t="shared" si="13"/>
        <v>5554</v>
      </c>
      <c r="J296" s="1" t="str">
        <f t="shared" si="14"/>
        <v>Nill</v>
      </c>
      <c r="K296" s="1" t="s">
        <v>25</v>
      </c>
      <c r="L296" s="1" t="s">
        <v>17</v>
      </c>
      <c r="M296" s="1" t="s">
        <v>190</v>
      </c>
      <c r="N296"/>
    </row>
    <row r="297" spans="1:14" x14ac:dyDescent="0.25">
      <c r="A297" s="1" t="s">
        <v>1179</v>
      </c>
      <c r="B297" s="1" t="s">
        <v>410</v>
      </c>
      <c r="C297" s="5">
        <v>44380</v>
      </c>
      <c r="D297" s="6">
        <f t="shared" si="12"/>
        <v>44380</v>
      </c>
      <c r="E297" s="1" t="s">
        <v>11</v>
      </c>
      <c r="F297" s="1" t="s">
        <v>69</v>
      </c>
      <c r="G297" s="1">
        <v>2628</v>
      </c>
      <c r="H297" s="1" cm="1">
        <f t="array" ref="H297">IF(TRIM(G297)="",
   MEDIAN(IFERROR(--SUBSTITUTE(SUBSTITUTE(SUBSTITUTE(SUBSTITUTE(SUBSTITUTE(SUBSTITUTE(G$2:G$747,"Rs.",""),"INR",""),"₹",""),"â‚¹",""),"$","")," ",""),"")),
   IFERROR(--SUBSTITUTE(SUBSTITUTE(SUBSTITUTE(SUBSTITUTE(SUBSTITUTE(SUBSTITUTE(TRIM(G297),"Rs.",""),"INR",""),"₹",""),"â‚¹",""),"$","")," ",""),"")
)</f>
        <v>2628</v>
      </c>
      <c r="I297" s="1">
        <f t="shared" si="13"/>
        <v>2628</v>
      </c>
      <c r="J297" s="1" t="str">
        <f t="shared" si="14"/>
        <v>Nill</v>
      </c>
      <c r="K297" s="1" t="s">
        <v>25</v>
      </c>
      <c r="L297" s="1" t="s">
        <v>1252</v>
      </c>
      <c r="M297" s="1" t="s">
        <v>49</v>
      </c>
      <c r="N297"/>
    </row>
    <row r="298" spans="1:14" x14ac:dyDescent="0.25">
      <c r="A298" s="1" t="s">
        <v>106</v>
      </c>
      <c r="B298" s="1" t="s">
        <v>64</v>
      </c>
      <c r="C298" s="5">
        <v>45642</v>
      </c>
      <c r="D298" s="6">
        <f t="shared" si="12"/>
        <v>45642</v>
      </c>
      <c r="E298" s="1" t="s">
        <v>11</v>
      </c>
      <c r="F298" s="1" t="s">
        <v>158</v>
      </c>
      <c r="G298" s="1">
        <v>8119</v>
      </c>
      <c r="H298" s="1" cm="1">
        <f t="array" ref="H298">IF(TRIM(G298)="",
   MEDIAN(IFERROR(--SUBSTITUTE(SUBSTITUTE(SUBSTITUTE(SUBSTITUTE(SUBSTITUTE(SUBSTITUTE(G$2:G$747,"Rs.",""),"INR",""),"₹",""),"â‚¹",""),"$","")," ",""),"")),
   IFERROR(--SUBSTITUTE(SUBSTITUTE(SUBSTITUTE(SUBSTITUTE(SUBSTITUTE(SUBSTITUTE(TRIM(G298),"Rs.",""),"INR",""),"₹",""),"â‚¹",""),"$","")," ",""),"")
)</f>
        <v>8119</v>
      </c>
      <c r="I298" s="1">
        <f t="shared" si="13"/>
        <v>8119</v>
      </c>
      <c r="J298" s="1" t="str">
        <f t="shared" si="14"/>
        <v>Nill</v>
      </c>
      <c r="K298" s="1" t="s">
        <v>31</v>
      </c>
      <c r="L298" s="1" t="s">
        <v>17</v>
      </c>
      <c r="M298" s="1" t="s">
        <v>22</v>
      </c>
      <c r="N298"/>
    </row>
    <row r="299" spans="1:14" x14ac:dyDescent="0.25">
      <c r="A299" s="1" t="s">
        <v>615</v>
      </c>
      <c r="B299" s="1" t="s">
        <v>126</v>
      </c>
      <c r="C299" s="5">
        <v>44990</v>
      </c>
      <c r="D299" s="6">
        <f t="shared" si="12"/>
        <v>44990</v>
      </c>
      <c r="E299" s="1" t="s">
        <v>11</v>
      </c>
      <c r="F299" s="1" t="s">
        <v>85</v>
      </c>
      <c r="G299" s="1">
        <v>2272</v>
      </c>
      <c r="H299" s="1" cm="1">
        <f t="array" ref="H299">IF(TRIM(G299)="",
   MEDIAN(IFERROR(--SUBSTITUTE(SUBSTITUTE(SUBSTITUTE(SUBSTITUTE(SUBSTITUTE(SUBSTITUTE(G$2:G$747,"Rs.",""),"INR",""),"₹",""),"â‚¹",""),"$","")," ",""),"")),
   IFERROR(--SUBSTITUTE(SUBSTITUTE(SUBSTITUTE(SUBSTITUTE(SUBSTITUTE(SUBSTITUTE(TRIM(G299),"Rs.",""),"INR",""),"₹",""),"â‚¹",""),"$","")," ",""),"")
)</f>
        <v>2272</v>
      </c>
      <c r="I299" s="1">
        <f t="shared" si="13"/>
        <v>2272</v>
      </c>
      <c r="J299" s="1" t="str">
        <f t="shared" si="14"/>
        <v>Nill</v>
      </c>
      <c r="K299" s="1" t="s">
        <v>25</v>
      </c>
      <c r="L299" s="1" t="s">
        <v>17</v>
      </c>
      <c r="M299" s="1" t="s">
        <v>54</v>
      </c>
      <c r="N299"/>
    </row>
    <row r="300" spans="1:14" x14ac:dyDescent="0.25">
      <c r="A300" s="1" t="s">
        <v>1193</v>
      </c>
      <c r="B300" s="1" t="s">
        <v>281</v>
      </c>
      <c r="C300" s="1" t="s">
        <v>1194</v>
      </c>
      <c r="D300" s="6">
        <f t="shared" si="12"/>
        <v>45556</v>
      </c>
      <c r="E300" s="1" t="s">
        <v>20</v>
      </c>
      <c r="F300" s="1" t="s">
        <v>112</v>
      </c>
      <c r="H300" s="1" cm="1">
        <f t="array" ref="H300">IF(TRIM(G300)="",
   MEDIAN(IFERROR(--SUBSTITUTE(SUBSTITUTE(SUBSTITUTE(SUBSTITUTE(SUBSTITUTE(SUBSTITUTE(G$2:G$747,"Rs.",""),"INR",""),"₹",""),"â‚¹",""),"$","")," ",""),"")),
   IFERROR(--SUBSTITUTE(SUBSTITUTE(SUBSTITUTE(SUBSTITUTE(SUBSTITUTE(SUBSTITUTE(TRIM(G300),"Rs.",""),"INR",""),"₹",""),"â‚¹",""),"$","")," ",""),"")
)</f>
        <v>5935</v>
      </c>
      <c r="I300" s="1" t="str">
        <f t="shared" si="13"/>
        <v>Nill</v>
      </c>
      <c r="J300" s="1">
        <f t="shared" si="14"/>
        <v>5935</v>
      </c>
      <c r="K300" s="1" t="s">
        <v>110</v>
      </c>
      <c r="L300" s="1" t="s">
        <v>17</v>
      </c>
      <c r="M300" s="1" t="s">
        <v>1253</v>
      </c>
      <c r="N300"/>
    </row>
    <row r="301" spans="1:14" x14ac:dyDescent="0.25">
      <c r="A301" s="1" t="s">
        <v>1000</v>
      </c>
      <c r="B301" s="1" t="s">
        <v>96</v>
      </c>
      <c r="C301" s="5">
        <v>44712</v>
      </c>
      <c r="D301" s="6">
        <f t="shared" si="12"/>
        <v>44712</v>
      </c>
      <c r="E301" s="1" t="s">
        <v>20</v>
      </c>
      <c r="F301" s="1" t="s">
        <v>44</v>
      </c>
      <c r="G301" s="1" t="s">
        <v>1001</v>
      </c>
      <c r="H301" s="1" cm="1">
        <f t="array" ref="H301">IF(TRIM(G301)="",
   MEDIAN(IFERROR(--SUBSTITUTE(SUBSTITUTE(SUBSTITUTE(SUBSTITUTE(SUBSTITUTE(SUBSTITUTE(G$2:G$747,"Rs.",""),"INR",""),"₹",""),"â‚¹",""),"$","")," ",""),"")),
   IFERROR(--SUBSTITUTE(SUBSTITUTE(SUBSTITUTE(SUBSTITUTE(SUBSTITUTE(SUBSTITUTE(TRIM(G301),"Rs.",""),"INR",""),"₹",""),"â‚¹",""),"$","")," ",""),"")
)</f>
        <v>30722</v>
      </c>
      <c r="I301" s="1" t="str">
        <f t="shared" si="13"/>
        <v>Nill</v>
      </c>
      <c r="J301" s="1">
        <f t="shared" si="14"/>
        <v>30722</v>
      </c>
      <c r="K301" s="1" t="s">
        <v>12</v>
      </c>
      <c r="L301" s="1" t="s">
        <v>97</v>
      </c>
      <c r="M301" s="1" t="s">
        <v>1253</v>
      </c>
      <c r="N301"/>
    </row>
    <row r="302" spans="1:14" x14ac:dyDescent="0.25">
      <c r="A302" s="1" t="s">
        <v>878</v>
      </c>
      <c r="B302" s="1" t="s">
        <v>208</v>
      </c>
      <c r="C302" s="5">
        <v>44712</v>
      </c>
      <c r="D302" s="6">
        <f t="shared" si="12"/>
        <v>44712</v>
      </c>
      <c r="E302" s="1" t="s">
        <v>11</v>
      </c>
      <c r="F302" s="1" t="s">
        <v>69</v>
      </c>
      <c r="G302" s="1">
        <v>2186</v>
      </c>
      <c r="H302" s="1" cm="1">
        <f t="array" ref="H302">IF(TRIM(G302)="",
   MEDIAN(IFERROR(--SUBSTITUTE(SUBSTITUTE(SUBSTITUTE(SUBSTITUTE(SUBSTITUTE(SUBSTITUTE(G$2:G$747,"Rs.",""),"INR",""),"₹",""),"â‚¹",""),"$","")," ",""),"")),
   IFERROR(--SUBSTITUTE(SUBSTITUTE(SUBSTITUTE(SUBSTITUTE(SUBSTITUTE(SUBSTITUTE(TRIM(G302),"Rs.",""),"INR",""),"₹",""),"â‚¹",""),"$","")," ",""),"")
)</f>
        <v>2186</v>
      </c>
      <c r="I302" s="1">
        <f t="shared" si="13"/>
        <v>2186</v>
      </c>
      <c r="J302" s="1" t="str">
        <f t="shared" si="14"/>
        <v>Nill</v>
      </c>
      <c r="K302" s="1" t="s">
        <v>25</v>
      </c>
      <c r="L302" s="1" t="s">
        <v>299</v>
      </c>
      <c r="M302" s="1" t="s">
        <v>133</v>
      </c>
      <c r="N302"/>
    </row>
    <row r="303" spans="1:14" x14ac:dyDescent="0.25">
      <c r="A303" s="1" t="s">
        <v>1109</v>
      </c>
      <c r="B303" s="1" t="s">
        <v>1016</v>
      </c>
      <c r="C303" s="1" t="s">
        <v>1110</v>
      </c>
      <c r="D303" s="6">
        <f t="shared" si="12"/>
        <v>45126</v>
      </c>
      <c r="E303" s="1" t="s">
        <v>20</v>
      </c>
      <c r="F303" s="1" t="s">
        <v>44</v>
      </c>
      <c r="G303" s="1" t="s">
        <v>1111</v>
      </c>
      <c r="H303" s="1" cm="1">
        <f t="array" ref="H303">IF(TRIM(G303)="",
   MEDIAN(IFERROR(--SUBSTITUTE(SUBSTITUTE(SUBSTITUTE(SUBSTITUTE(SUBSTITUTE(SUBSTITUTE(G$2:G$747,"Rs.",""),"INR",""),"₹",""),"â‚¹",""),"$","")," ",""),"")),
   IFERROR(--SUBSTITUTE(SUBSTITUTE(SUBSTITUTE(SUBSTITUTE(SUBSTITUTE(SUBSTITUTE(TRIM(G303),"Rs.",""),"INR",""),"₹",""),"â‚¹",""),"$","")," ",""),"")
)</f>
        <v>12429</v>
      </c>
      <c r="I303" s="1" t="str">
        <f t="shared" si="13"/>
        <v>Nill</v>
      </c>
      <c r="J303" s="1">
        <f t="shared" si="14"/>
        <v>12429</v>
      </c>
      <c r="K303" s="1" t="s">
        <v>12</v>
      </c>
      <c r="L303" s="1" t="s">
        <v>1252</v>
      </c>
      <c r="M303" s="1" t="s">
        <v>128</v>
      </c>
      <c r="N303"/>
    </row>
    <row r="304" spans="1:14" x14ac:dyDescent="0.25">
      <c r="A304" s="1" t="s">
        <v>262</v>
      </c>
      <c r="B304" s="1" t="s">
        <v>24</v>
      </c>
      <c r="C304" s="5">
        <v>44472</v>
      </c>
      <c r="D304" s="6">
        <f t="shared" si="12"/>
        <v>44472</v>
      </c>
      <c r="E304" s="1" t="s">
        <v>20</v>
      </c>
      <c r="F304" s="1" t="s">
        <v>52</v>
      </c>
      <c r="G304" s="1">
        <v>57173</v>
      </c>
      <c r="H304" s="1" cm="1">
        <f t="array" ref="H304">IF(TRIM(G304)="",
   MEDIAN(IFERROR(--SUBSTITUTE(SUBSTITUTE(SUBSTITUTE(SUBSTITUTE(SUBSTITUTE(SUBSTITUTE(G$2:G$747,"Rs.",""),"INR",""),"₹",""),"â‚¹",""),"$","")," ",""),"")),
   IFERROR(--SUBSTITUTE(SUBSTITUTE(SUBSTITUTE(SUBSTITUTE(SUBSTITUTE(SUBSTITUTE(TRIM(G304),"Rs.",""),"INR",""),"₹",""),"â‚¹",""),"$","")," ",""),"")
)</f>
        <v>57173</v>
      </c>
      <c r="I304" s="1" t="str">
        <f t="shared" si="13"/>
        <v>Nill</v>
      </c>
      <c r="J304" s="1">
        <f t="shared" si="14"/>
        <v>57173</v>
      </c>
      <c r="K304" s="1" t="s">
        <v>138</v>
      </c>
      <c r="L304" s="1" t="s">
        <v>1252</v>
      </c>
      <c r="M304" s="1" t="s">
        <v>1253</v>
      </c>
      <c r="N304"/>
    </row>
    <row r="305" spans="1:14" x14ac:dyDescent="0.25">
      <c r="A305" s="1" t="s">
        <v>1215</v>
      </c>
      <c r="B305" s="1" t="s">
        <v>148</v>
      </c>
      <c r="C305" s="1" t="s">
        <v>1216</v>
      </c>
      <c r="D305" s="6">
        <f t="shared" si="12"/>
        <v>45059</v>
      </c>
      <c r="E305" s="1" t="s">
        <v>11</v>
      </c>
      <c r="F305" s="1" t="s">
        <v>69</v>
      </c>
      <c r="G305" s="1">
        <v>6868</v>
      </c>
      <c r="H305" s="1" cm="1">
        <f t="array" ref="H305">IF(TRIM(G305)="",
   MEDIAN(IFERROR(--SUBSTITUTE(SUBSTITUTE(SUBSTITUTE(SUBSTITUTE(SUBSTITUTE(SUBSTITUTE(G$2:G$747,"Rs.",""),"INR",""),"₹",""),"â‚¹",""),"$","")," ",""),"")),
   IFERROR(--SUBSTITUTE(SUBSTITUTE(SUBSTITUTE(SUBSTITUTE(SUBSTITUTE(SUBSTITUTE(TRIM(G305),"Rs.",""),"INR",""),"₹",""),"â‚¹",""),"$","")," ",""),"")
)</f>
        <v>6868</v>
      </c>
      <c r="I305" s="1">
        <f t="shared" si="13"/>
        <v>6868</v>
      </c>
      <c r="J305" s="1" t="str">
        <f t="shared" si="14"/>
        <v>Nill</v>
      </c>
      <c r="K305" s="1" t="s">
        <v>138</v>
      </c>
      <c r="L305" s="1" t="s">
        <v>167</v>
      </c>
      <c r="M305" s="1" t="s">
        <v>179</v>
      </c>
      <c r="N305"/>
    </row>
    <row r="306" spans="1:14" x14ac:dyDescent="0.25">
      <c r="A306" s="1" t="s">
        <v>337</v>
      </c>
      <c r="B306" s="1" t="s">
        <v>119</v>
      </c>
      <c r="C306" s="1" t="s">
        <v>338</v>
      </c>
      <c r="D306" s="6">
        <f t="shared" si="12"/>
        <v>44829</v>
      </c>
      <c r="E306" s="1" t="s">
        <v>11</v>
      </c>
      <c r="F306" s="1" t="s">
        <v>158</v>
      </c>
      <c r="G306" s="1">
        <v>9358</v>
      </c>
      <c r="H306" s="1" cm="1">
        <f t="array" ref="H306">IF(TRIM(G306)="",
   MEDIAN(IFERROR(--SUBSTITUTE(SUBSTITUTE(SUBSTITUTE(SUBSTITUTE(SUBSTITUTE(SUBSTITUTE(G$2:G$747,"Rs.",""),"INR",""),"₹",""),"â‚¹",""),"$","")," ",""),"")),
   IFERROR(--SUBSTITUTE(SUBSTITUTE(SUBSTITUTE(SUBSTITUTE(SUBSTITUTE(SUBSTITUTE(TRIM(G306),"Rs.",""),"INR",""),"₹",""),"â‚¹",""),"$","")," ",""),"")
)</f>
        <v>9358</v>
      </c>
      <c r="I306" s="1">
        <f t="shared" si="13"/>
        <v>9358</v>
      </c>
      <c r="J306" s="1" t="str">
        <f t="shared" si="14"/>
        <v>Nill</v>
      </c>
      <c r="K306" s="1" t="s">
        <v>12</v>
      </c>
      <c r="L306" s="1" t="s">
        <v>198</v>
      </c>
      <c r="M306" s="1" t="s">
        <v>1253</v>
      </c>
      <c r="N306"/>
    </row>
    <row r="307" spans="1:14" x14ac:dyDescent="0.25">
      <c r="A307" s="1" t="s">
        <v>420</v>
      </c>
      <c r="B307" s="1" t="s">
        <v>421</v>
      </c>
      <c r="C307" s="1" t="s">
        <v>422</v>
      </c>
      <c r="D307" s="6">
        <f t="shared" si="12"/>
        <v>45493</v>
      </c>
      <c r="E307" s="1" t="s">
        <v>11</v>
      </c>
      <c r="F307" s="1" t="s">
        <v>158</v>
      </c>
      <c r="G307" s="1">
        <v>2497</v>
      </c>
      <c r="H307" s="1" cm="1">
        <f t="array" ref="H307">IF(TRIM(G307)="",
   MEDIAN(IFERROR(--SUBSTITUTE(SUBSTITUTE(SUBSTITUTE(SUBSTITUTE(SUBSTITUTE(SUBSTITUTE(G$2:G$747,"Rs.",""),"INR",""),"₹",""),"â‚¹",""),"$","")," ",""),"")),
   IFERROR(--SUBSTITUTE(SUBSTITUTE(SUBSTITUTE(SUBSTITUTE(SUBSTITUTE(SUBSTITUTE(TRIM(G307),"Rs.",""),"INR",""),"₹",""),"â‚¹",""),"$","")," ",""),"")
)</f>
        <v>2497</v>
      </c>
      <c r="I307" s="1">
        <f t="shared" si="13"/>
        <v>2497</v>
      </c>
      <c r="J307" s="1" t="str">
        <f t="shared" si="14"/>
        <v>Nill</v>
      </c>
      <c r="K307" s="1" t="s">
        <v>25</v>
      </c>
      <c r="L307" s="1" t="s">
        <v>217</v>
      </c>
      <c r="M307" s="1" t="s">
        <v>1253</v>
      </c>
      <c r="N307"/>
    </row>
    <row r="308" spans="1:14" x14ac:dyDescent="0.25">
      <c r="A308" s="1" t="s">
        <v>460</v>
      </c>
      <c r="B308" s="1" t="s">
        <v>410</v>
      </c>
      <c r="C308" s="5">
        <v>44961</v>
      </c>
      <c r="D308" s="6">
        <f t="shared" si="12"/>
        <v>44961</v>
      </c>
      <c r="E308" s="1" t="s">
        <v>11</v>
      </c>
      <c r="F308" s="1" t="s">
        <v>69</v>
      </c>
      <c r="G308" s="1">
        <v>3762</v>
      </c>
      <c r="H308" s="1" cm="1">
        <f t="array" ref="H308">IF(TRIM(G308)="",
   MEDIAN(IFERROR(--SUBSTITUTE(SUBSTITUTE(SUBSTITUTE(SUBSTITUTE(SUBSTITUTE(SUBSTITUTE(G$2:G$747,"Rs.",""),"INR",""),"₹",""),"â‚¹",""),"$","")," ",""),"")),
   IFERROR(--SUBSTITUTE(SUBSTITUTE(SUBSTITUTE(SUBSTITUTE(SUBSTITUTE(SUBSTITUTE(TRIM(G308),"Rs.",""),"INR",""),"₹",""),"â‚¹",""),"$","")," ",""),"")
)</f>
        <v>3762</v>
      </c>
      <c r="I308" s="1">
        <f t="shared" si="13"/>
        <v>3762</v>
      </c>
      <c r="J308" s="1" t="str">
        <f t="shared" si="14"/>
        <v>Nill</v>
      </c>
      <c r="K308" s="1" t="s">
        <v>25</v>
      </c>
      <c r="L308" s="1" t="s">
        <v>17</v>
      </c>
      <c r="M308" s="1" t="s">
        <v>1253</v>
      </c>
      <c r="N308"/>
    </row>
    <row r="309" spans="1:14" x14ac:dyDescent="0.25">
      <c r="A309" s="1" t="s">
        <v>1002</v>
      </c>
      <c r="B309" s="1" t="s">
        <v>340</v>
      </c>
      <c r="C309" s="5">
        <v>45323</v>
      </c>
      <c r="D309" s="6">
        <f t="shared" si="12"/>
        <v>45323</v>
      </c>
      <c r="E309" s="1" t="s">
        <v>11</v>
      </c>
      <c r="F309" s="1" t="s">
        <v>85</v>
      </c>
      <c r="G309" s="1">
        <v>2481</v>
      </c>
      <c r="H309" s="1" cm="1">
        <f t="array" ref="H309">IF(TRIM(G309)="",
   MEDIAN(IFERROR(--SUBSTITUTE(SUBSTITUTE(SUBSTITUTE(SUBSTITUTE(SUBSTITUTE(SUBSTITUTE(G$2:G$747,"Rs.",""),"INR",""),"₹",""),"â‚¹",""),"$","")," ",""),"")),
   IFERROR(--SUBSTITUTE(SUBSTITUTE(SUBSTITUTE(SUBSTITUTE(SUBSTITUTE(SUBSTITUTE(TRIM(G309),"Rs.",""),"INR",""),"₹",""),"â‚¹",""),"$","")," ",""),"")
)</f>
        <v>2481</v>
      </c>
      <c r="I309" s="1">
        <f t="shared" si="13"/>
        <v>2481</v>
      </c>
      <c r="J309" s="1" t="str">
        <f t="shared" si="14"/>
        <v>Nill</v>
      </c>
      <c r="K309" s="1" t="s">
        <v>25</v>
      </c>
      <c r="L309" s="1" t="s">
        <v>97</v>
      </c>
      <c r="M309" s="1" t="s">
        <v>1253</v>
      </c>
      <c r="N309"/>
    </row>
    <row r="310" spans="1:14" x14ac:dyDescent="0.25">
      <c r="A310" s="1" t="s">
        <v>77</v>
      </c>
      <c r="B310" s="1" t="s">
        <v>78</v>
      </c>
      <c r="C310" s="5">
        <v>44254</v>
      </c>
      <c r="D310" s="6">
        <f t="shared" si="12"/>
        <v>44254</v>
      </c>
      <c r="E310" s="1" t="s">
        <v>20</v>
      </c>
      <c r="F310" s="1" t="s">
        <v>52</v>
      </c>
      <c r="G310" s="1">
        <v>49683</v>
      </c>
      <c r="H310" s="1" cm="1">
        <f t="array" ref="H310">IF(TRIM(G310)="",
   MEDIAN(IFERROR(--SUBSTITUTE(SUBSTITUTE(SUBSTITUTE(SUBSTITUTE(SUBSTITUTE(SUBSTITUTE(G$2:G$747,"Rs.",""),"INR",""),"₹",""),"â‚¹",""),"$","")," ",""),"")),
   IFERROR(--SUBSTITUTE(SUBSTITUTE(SUBSTITUTE(SUBSTITUTE(SUBSTITUTE(SUBSTITUTE(TRIM(G310),"Rs.",""),"INR",""),"₹",""),"â‚¹",""),"$","")," ",""),"")
)</f>
        <v>49683</v>
      </c>
      <c r="I310" s="1" t="str">
        <f t="shared" si="13"/>
        <v>Nill</v>
      </c>
      <c r="J310" s="1">
        <f t="shared" si="14"/>
        <v>49683</v>
      </c>
      <c r="K310" s="1" t="s">
        <v>1253</v>
      </c>
      <c r="L310" s="1" t="s">
        <v>40</v>
      </c>
      <c r="M310" s="1" t="s">
        <v>1253</v>
      </c>
      <c r="N310"/>
    </row>
    <row r="311" spans="1:14" x14ac:dyDescent="0.25">
      <c r="A311" s="1" t="s">
        <v>535</v>
      </c>
      <c r="B311" s="1" t="s">
        <v>101</v>
      </c>
      <c r="C311" s="5">
        <v>45510</v>
      </c>
      <c r="D311" s="6">
        <f t="shared" si="12"/>
        <v>45510</v>
      </c>
      <c r="E311" s="1" t="s">
        <v>11</v>
      </c>
      <c r="F311" s="1" t="s">
        <v>465</v>
      </c>
      <c r="G311" s="1" t="s">
        <v>536</v>
      </c>
      <c r="H311" s="1" cm="1">
        <f t="array" ref="H311">IF(TRIM(G311)="",
   MEDIAN(IFERROR(--SUBSTITUTE(SUBSTITUTE(SUBSTITUTE(SUBSTITUTE(SUBSTITUTE(SUBSTITUTE(G$2:G$747,"Rs.",""),"INR",""),"₹",""),"â‚¹",""),"$","")," ",""),"")),
   IFERROR(--SUBSTITUTE(SUBSTITUTE(SUBSTITUTE(SUBSTITUTE(SUBSTITUTE(SUBSTITUTE(TRIM(G311),"Rs.",""),"INR",""),"₹",""),"â‚¹",""),"$","")," ",""),"")
)</f>
        <v>6321</v>
      </c>
      <c r="I311" s="1">
        <f t="shared" si="13"/>
        <v>6321</v>
      </c>
      <c r="J311" s="1" t="str">
        <f t="shared" si="14"/>
        <v>Nill</v>
      </c>
      <c r="K311" s="1" t="s">
        <v>138</v>
      </c>
      <c r="L311" s="1" t="s">
        <v>13</v>
      </c>
      <c r="M311" s="1" t="s">
        <v>76</v>
      </c>
      <c r="N311"/>
    </row>
    <row r="312" spans="1:14" x14ac:dyDescent="0.25">
      <c r="A312" s="1" t="s">
        <v>309</v>
      </c>
      <c r="B312" s="1" t="s">
        <v>310</v>
      </c>
      <c r="C312" s="5">
        <v>44649</v>
      </c>
      <c r="D312" s="6">
        <f t="shared" si="12"/>
        <v>44649</v>
      </c>
      <c r="E312" s="1" t="s">
        <v>11</v>
      </c>
      <c r="F312" s="1" t="s">
        <v>85</v>
      </c>
      <c r="G312" s="1">
        <v>3011</v>
      </c>
      <c r="H312" s="1" cm="1">
        <f t="array" ref="H312">IF(TRIM(G312)="",
   MEDIAN(IFERROR(--SUBSTITUTE(SUBSTITUTE(SUBSTITUTE(SUBSTITUTE(SUBSTITUTE(SUBSTITUTE(G$2:G$747,"Rs.",""),"INR",""),"₹",""),"â‚¹",""),"$","")," ",""),"")),
   IFERROR(--SUBSTITUTE(SUBSTITUTE(SUBSTITUTE(SUBSTITUTE(SUBSTITUTE(SUBSTITUTE(TRIM(G312),"Rs.",""),"INR",""),"₹",""),"â‚¹",""),"$","")," ",""),"")
)</f>
        <v>3011</v>
      </c>
      <c r="I312" s="1">
        <f t="shared" si="13"/>
        <v>3011</v>
      </c>
      <c r="J312" s="1" t="str">
        <f t="shared" si="14"/>
        <v>Nill</v>
      </c>
      <c r="K312" s="1" t="s">
        <v>12</v>
      </c>
      <c r="L312" s="1" t="s">
        <v>217</v>
      </c>
      <c r="M312" s="1" t="s">
        <v>49</v>
      </c>
      <c r="N312"/>
    </row>
    <row r="313" spans="1:14" x14ac:dyDescent="0.25">
      <c r="A313" s="1" t="s">
        <v>144</v>
      </c>
      <c r="B313" s="1" t="s">
        <v>145</v>
      </c>
      <c r="C313" s="1" t="s">
        <v>146</v>
      </c>
      <c r="D313" s="6">
        <f t="shared" si="12"/>
        <v>44301</v>
      </c>
      <c r="E313" s="1" t="s">
        <v>11</v>
      </c>
      <c r="F313" s="1" t="s">
        <v>85</v>
      </c>
      <c r="G313" s="1">
        <v>8241</v>
      </c>
      <c r="H313" s="1" cm="1">
        <f t="array" ref="H313">IF(TRIM(G313)="",
   MEDIAN(IFERROR(--SUBSTITUTE(SUBSTITUTE(SUBSTITUTE(SUBSTITUTE(SUBSTITUTE(SUBSTITUTE(G$2:G$747,"Rs.",""),"INR",""),"₹",""),"â‚¹",""),"$","")," ",""),"")),
   IFERROR(--SUBSTITUTE(SUBSTITUTE(SUBSTITUTE(SUBSTITUTE(SUBSTITUTE(SUBSTITUTE(TRIM(G313),"Rs.",""),"INR",""),"₹",""),"â‚¹",""),"$","")," ",""),"")
)</f>
        <v>8241</v>
      </c>
      <c r="I313" s="1">
        <f t="shared" si="13"/>
        <v>8241</v>
      </c>
      <c r="J313" s="1" t="str">
        <f t="shared" si="14"/>
        <v>Nill</v>
      </c>
      <c r="K313" s="1" t="s">
        <v>48</v>
      </c>
      <c r="L313" s="1" t="s">
        <v>1252</v>
      </c>
      <c r="M313" s="1" t="s">
        <v>14</v>
      </c>
      <c r="N313"/>
    </row>
    <row r="314" spans="1:14" x14ac:dyDescent="0.25">
      <c r="A314" s="1" t="s">
        <v>429</v>
      </c>
      <c r="B314" s="1" t="s">
        <v>259</v>
      </c>
      <c r="C314" s="5">
        <v>44575</v>
      </c>
      <c r="D314" s="6">
        <f t="shared" si="12"/>
        <v>44575</v>
      </c>
      <c r="E314" s="1" t="s">
        <v>11</v>
      </c>
      <c r="F314" s="1" t="s">
        <v>249</v>
      </c>
      <c r="G314" s="1">
        <v>7821</v>
      </c>
      <c r="H314" s="1" cm="1">
        <f t="array" ref="H314">IF(TRIM(G314)="",
   MEDIAN(IFERROR(--SUBSTITUTE(SUBSTITUTE(SUBSTITUTE(SUBSTITUTE(SUBSTITUTE(SUBSTITUTE(G$2:G$747,"Rs.",""),"INR",""),"₹",""),"â‚¹",""),"$","")," ",""),"")),
   IFERROR(--SUBSTITUTE(SUBSTITUTE(SUBSTITUTE(SUBSTITUTE(SUBSTITUTE(SUBSTITUTE(TRIM(G314),"Rs.",""),"INR",""),"₹",""),"â‚¹",""),"$","")," ",""),"")
)</f>
        <v>7821</v>
      </c>
      <c r="I314" s="1">
        <f t="shared" si="13"/>
        <v>7821</v>
      </c>
      <c r="J314" s="1" t="str">
        <f t="shared" si="14"/>
        <v>Nill</v>
      </c>
      <c r="K314" s="1" t="s">
        <v>261</v>
      </c>
      <c r="L314" s="1" t="s">
        <v>167</v>
      </c>
      <c r="M314" s="1" t="s">
        <v>35</v>
      </c>
      <c r="N314"/>
    </row>
    <row r="315" spans="1:14" x14ac:dyDescent="0.25">
      <c r="A315" s="1" t="s">
        <v>229</v>
      </c>
      <c r="B315" s="1" t="s">
        <v>230</v>
      </c>
      <c r="C315" s="1" t="s">
        <v>231</v>
      </c>
      <c r="D315" s="6">
        <f t="shared" si="12"/>
        <v>44550</v>
      </c>
      <c r="E315" s="1" t="s">
        <v>11</v>
      </c>
      <c r="F315" s="1" t="s">
        <v>69</v>
      </c>
      <c r="G315" s="1" t="s">
        <v>232</v>
      </c>
      <c r="H315" s="1" cm="1">
        <f t="array" ref="H315">IF(TRIM(G315)="",
   MEDIAN(IFERROR(--SUBSTITUTE(SUBSTITUTE(SUBSTITUTE(SUBSTITUTE(SUBSTITUTE(SUBSTITUTE(G$2:G$747,"Rs.",""),"INR",""),"₹",""),"â‚¹",""),"$","")," ",""),"")),
   IFERROR(--SUBSTITUTE(SUBSTITUTE(SUBSTITUTE(SUBSTITUTE(SUBSTITUTE(SUBSTITUTE(TRIM(G315),"Rs.",""),"INR",""),"₹",""),"â‚¹",""),"$","")," ",""),"")
)</f>
        <v>5576</v>
      </c>
      <c r="I315" s="1">
        <f t="shared" si="13"/>
        <v>5576</v>
      </c>
      <c r="J315" s="1" t="str">
        <f t="shared" si="14"/>
        <v>Nill</v>
      </c>
      <c r="K315" s="1" t="s">
        <v>25</v>
      </c>
      <c r="L315" s="1" t="s">
        <v>127</v>
      </c>
      <c r="M315" s="1" t="s">
        <v>179</v>
      </c>
      <c r="N315"/>
    </row>
    <row r="316" spans="1:14" x14ac:dyDescent="0.25">
      <c r="A316" s="1" t="s">
        <v>974</v>
      </c>
      <c r="B316" s="1" t="s">
        <v>243</v>
      </c>
      <c r="C316" s="5">
        <v>44972</v>
      </c>
      <c r="D316" s="6">
        <f t="shared" si="12"/>
        <v>44972</v>
      </c>
      <c r="E316" s="1" t="s">
        <v>11</v>
      </c>
      <c r="F316" s="1" t="s">
        <v>759</v>
      </c>
      <c r="G316" s="1" t="s">
        <v>975</v>
      </c>
      <c r="H316" s="1" cm="1">
        <f t="array" ref="H316">IF(TRIM(G316)="",
   MEDIAN(IFERROR(--SUBSTITUTE(SUBSTITUTE(SUBSTITUTE(SUBSTITUTE(SUBSTITUTE(SUBSTITUTE(G$2:G$747,"Rs.",""),"INR",""),"₹",""),"â‚¹",""),"$","")," ",""),"")),
   IFERROR(--SUBSTITUTE(SUBSTITUTE(SUBSTITUTE(SUBSTITUTE(SUBSTITUTE(SUBSTITUTE(TRIM(G316),"Rs.",""),"INR",""),"₹",""),"â‚¹",""),"$","")," ",""),"")
)</f>
        <v>8382</v>
      </c>
      <c r="I316" s="1">
        <f t="shared" si="13"/>
        <v>8382</v>
      </c>
      <c r="J316" s="1" t="str">
        <f t="shared" si="14"/>
        <v>Nill</v>
      </c>
      <c r="K316" s="1" t="s">
        <v>87</v>
      </c>
      <c r="L316" s="1" t="s">
        <v>40</v>
      </c>
      <c r="M316" s="1" t="s">
        <v>122</v>
      </c>
      <c r="N316"/>
    </row>
    <row r="317" spans="1:14" x14ac:dyDescent="0.25">
      <c r="A317" s="1" t="s">
        <v>842</v>
      </c>
      <c r="B317" s="1" t="s">
        <v>310</v>
      </c>
      <c r="C317" s="5">
        <v>44882</v>
      </c>
      <c r="D317" s="6">
        <f t="shared" si="12"/>
        <v>44882</v>
      </c>
      <c r="E317" s="1" t="s">
        <v>11</v>
      </c>
      <c r="F317" s="1" t="s">
        <v>759</v>
      </c>
      <c r="G317" s="1">
        <v>3084</v>
      </c>
      <c r="H317" s="1" cm="1">
        <f t="array" ref="H317">IF(TRIM(G317)="",
   MEDIAN(IFERROR(--SUBSTITUTE(SUBSTITUTE(SUBSTITUTE(SUBSTITUTE(SUBSTITUTE(SUBSTITUTE(G$2:G$747,"Rs.",""),"INR",""),"₹",""),"â‚¹",""),"$","")," ",""),"")),
   IFERROR(--SUBSTITUTE(SUBSTITUTE(SUBSTITUTE(SUBSTITUTE(SUBSTITUTE(SUBSTITUTE(TRIM(G317),"Rs.",""),"INR",""),"₹",""),"â‚¹",""),"$","")," ",""),"")
)</f>
        <v>3084</v>
      </c>
      <c r="I317" s="1">
        <f t="shared" si="13"/>
        <v>3084</v>
      </c>
      <c r="J317" s="1" t="str">
        <f t="shared" si="14"/>
        <v>Nill</v>
      </c>
      <c r="K317" s="1" t="s">
        <v>138</v>
      </c>
      <c r="L317" s="1" t="s">
        <v>97</v>
      </c>
      <c r="M317" s="1" t="s">
        <v>133</v>
      </c>
      <c r="N317"/>
    </row>
    <row r="318" spans="1:14" x14ac:dyDescent="0.25">
      <c r="A318" s="1" t="s">
        <v>966</v>
      </c>
      <c r="B318" s="1" t="s">
        <v>678</v>
      </c>
      <c r="C318" s="5">
        <v>45037</v>
      </c>
      <c r="D318" s="6">
        <f t="shared" si="12"/>
        <v>45037</v>
      </c>
      <c r="E318" s="1" t="s">
        <v>11</v>
      </c>
      <c r="F318" s="1" t="s">
        <v>158</v>
      </c>
      <c r="G318" s="1">
        <v>8201</v>
      </c>
      <c r="H318" s="1" cm="1">
        <f t="array" ref="H318">IF(TRIM(G318)="",
   MEDIAN(IFERROR(--SUBSTITUTE(SUBSTITUTE(SUBSTITUTE(SUBSTITUTE(SUBSTITUTE(SUBSTITUTE(G$2:G$747,"Rs.",""),"INR",""),"₹",""),"â‚¹",""),"$","")," ",""),"")),
   IFERROR(--SUBSTITUTE(SUBSTITUTE(SUBSTITUTE(SUBSTITUTE(SUBSTITUTE(SUBSTITUTE(TRIM(G318),"Rs.",""),"INR",""),"₹",""),"â‚¹",""),"$","")," ",""),"")
)</f>
        <v>8201</v>
      </c>
      <c r="I318" s="1">
        <f t="shared" si="13"/>
        <v>8201</v>
      </c>
      <c r="J318" s="1" t="str">
        <f t="shared" si="14"/>
        <v>Nill</v>
      </c>
      <c r="K318" s="1" t="s">
        <v>53</v>
      </c>
      <c r="L318" s="1" t="s">
        <v>97</v>
      </c>
      <c r="M318" s="1" t="s">
        <v>117</v>
      </c>
      <c r="N318"/>
    </row>
    <row r="319" spans="1:14" x14ac:dyDescent="0.25">
      <c r="A319" s="1" t="s">
        <v>1213</v>
      </c>
      <c r="B319" s="1" t="s">
        <v>576</v>
      </c>
      <c r="C319" s="5">
        <v>44684</v>
      </c>
      <c r="D319" s="6">
        <f t="shared" si="12"/>
        <v>44684</v>
      </c>
      <c r="E319" s="1" t="s">
        <v>11</v>
      </c>
      <c r="F319" s="1" t="s">
        <v>158</v>
      </c>
      <c r="G319" s="1">
        <v>8214</v>
      </c>
      <c r="H319" s="1" cm="1">
        <f t="array" ref="H319">IF(TRIM(G319)="",
   MEDIAN(IFERROR(--SUBSTITUTE(SUBSTITUTE(SUBSTITUTE(SUBSTITUTE(SUBSTITUTE(SUBSTITUTE(G$2:G$747,"Rs.",""),"INR",""),"₹",""),"â‚¹",""),"$","")," ",""),"")),
   IFERROR(--SUBSTITUTE(SUBSTITUTE(SUBSTITUTE(SUBSTITUTE(SUBSTITUTE(SUBSTITUTE(TRIM(G319),"Rs.",""),"INR",""),"₹",""),"â‚¹",""),"$","")," ",""),"")
)</f>
        <v>8214</v>
      </c>
      <c r="I319" s="1">
        <f t="shared" si="13"/>
        <v>8214</v>
      </c>
      <c r="J319" s="1" t="str">
        <f t="shared" si="14"/>
        <v>Nill</v>
      </c>
      <c r="K319" s="1" t="s">
        <v>110</v>
      </c>
      <c r="L319" s="1" t="s">
        <v>217</v>
      </c>
      <c r="M319" s="1" t="s">
        <v>1253</v>
      </c>
      <c r="N319"/>
    </row>
    <row r="320" spans="1:14" x14ac:dyDescent="0.25">
      <c r="A320" s="1" t="s">
        <v>665</v>
      </c>
      <c r="B320" s="1" t="s">
        <v>412</v>
      </c>
      <c r="C320" s="5">
        <v>45217</v>
      </c>
      <c r="D320" s="6">
        <f t="shared" si="12"/>
        <v>45217</v>
      </c>
      <c r="E320" s="1" t="s">
        <v>11</v>
      </c>
      <c r="F320" s="1" t="s">
        <v>465</v>
      </c>
      <c r="G320" s="1" t="s">
        <v>666</v>
      </c>
      <c r="H320" s="1" cm="1">
        <f t="array" ref="H320">IF(TRIM(G320)="",
   MEDIAN(IFERROR(--SUBSTITUTE(SUBSTITUTE(SUBSTITUTE(SUBSTITUTE(SUBSTITUTE(SUBSTITUTE(G$2:G$747,"Rs.",""),"INR",""),"₹",""),"â‚¹",""),"$","")," ",""),"")),
   IFERROR(--SUBSTITUTE(SUBSTITUTE(SUBSTITUTE(SUBSTITUTE(SUBSTITUTE(SUBSTITUTE(TRIM(G320),"Rs.",""),"INR",""),"₹",""),"â‚¹",""),"$","")," ",""),"")
)</f>
        <v>9979</v>
      </c>
      <c r="I320" s="1">
        <f t="shared" si="13"/>
        <v>9979</v>
      </c>
      <c r="J320" s="1" t="str">
        <f t="shared" si="14"/>
        <v>Nill</v>
      </c>
      <c r="K320" s="1" t="s">
        <v>48</v>
      </c>
      <c r="L320" s="1" t="s">
        <v>17</v>
      </c>
      <c r="M320" s="1" t="s">
        <v>122</v>
      </c>
      <c r="N320"/>
    </row>
    <row r="321" spans="1:14" x14ac:dyDescent="0.25">
      <c r="A321" s="1" t="s">
        <v>597</v>
      </c>
      <c r="B321" s="1" t="s">
        <v>10</v>
      </c>
      <c r="C321" s="5">
        <v>44692</v>
      </c>
      <c r="D321" s="6">
        <f t="shared" si="12"/>
        <v>44692</v>
      </c>
      <c r="E321" s="1" t="s">
        <v>11</v>
      </c>
      <c r="F321" s="1" t="s">
        <v>249</v>
      </c>
      <c r="G321" s="1" t="s">
        <v>598</v>
      </c>
      <c r="H321" s="1" cm="1">
        <f t="array" ref="H321">IF(TRIM(G321)="",
   MEDIAN(IFERROR(--SUBSTITUTE(SUBSTITUTE(SUBSTITUTE(SUBSTITUTE(SUBSTITUTE(SUBSTITUTE(G$2:G$747,"Rs.",""),"INR",""),"₹",""),"â‚¹",""),"$","")," ",""),"")),
   IFERROR(--SUBSTITUTE(SUBSTITUTE(SUBSTITUTE(SUBSTITUTE(SUBSTITUTE(SUBSTITUTE(TRIM(G321),"Rs.",""),"INR",""),"₹",""),"â‚¹",""),"$","")," ",""),"")
)</f>
        <v>9859</v>
      </c>
      <c r="I321" s="1">
        <f t="shared" si="13"/>
        <v>9859</v>
      </c>
      <c r="J321" s="1" t="str">
        <f t="shared" si="14"/>
        <v>Nill</v>
      </c>
      <c r="K321" s="1" t="s">
        <v>53</v>
      </c>
      <c r="L321" s="1" t="s">
        <v>217</v>
      </c>
      <c r="M321" s="1" t="s">
        <v>190</v>
      </c>
      <c r="N321"/>
    </row>
    <row r="322" spans="1:14" x14ac:dyDescent="0.25">
      <c r="A322" s="1" t="s">
        <v>986</v>
      </c>
      <c r="B322" s="1" t="s">
        <v>78</v>
      </c>
      <c r="D322" s="6" t="str">
        <f t="shared" ref="D322:D385" si="15">IF(ISBLANK(C322),("unknown"),IF(ISNUMBER(C322),C322,DATE(RIGHT(C322,4),LEFT(C322,2),MID(C322,4,2))))</f>
        <v>unknown</v>
      </c>
      <c r="E322" s="1" t="s">
        <v>11</v>
      </c>
      <c r="F322" s="1" t="s">
        <v>69</v>
      </c>
      <c r="G322" s="1">
        <v>2072</v>
      </c>
      <c r="H322" s="1" cm="1">
        <f t="array" ref="H322">IF(TRIM(G322)="",
   MEDIAN(IFERROR(--SUBSTITUTE(SUBSTITUTE(SUBSTITUTE(SUBSTITUTE(SUBSTITUTE(SUBSTITUTE(G$2:G$747,"Rs.",""),"INR",""),"₹",""),"â‚¹",""),"$","")," ",""),"")),
   IFERROR(--SUBSTITUTE(SUBSTITUTE(SUBSTITUTE(SUBSTITUTE(SUBSTITUTE(SUBSTITUTE(TRIM(G322),"Rs.",""),"INR",""),"₹",""),"â‚¹",""),"$","")," ",""),"")
)</f>
        <v>2072</v>
      </c>
      <c r="I322" s="1">
        <f t="shared" ref="I322:I385" si="16">IF(E322="Expense",H322,"Nill")</f>
        <v>2072</v>
      </c>
      <c r="J322" s="1" t="str">
        <f t="shared" ref="J322:J385" si="17">IF(E322="Income",H322,"Nill")</f>
        <v>Nill</v>
      </c>
      <c r="K322" s="1" t="s">
        <v>138</v>
      </c>
      <c r="L322" s="1" t="s">
        <v>217</v>
      </c>
      <c r="M322" s="1" t="s">
        <v>14</v>
      </c>
      <c r="N322"/>
    </row>
    <row r="323" spans="1:14" x14ac:dyDescent="0.25">
      <c r="A323" s="1" t="s">
        <v>466</v>
      </c>
      <c r="B323" s="1" t="s">
        <v>359</v>
      </c>
      <c r="C323" s="5">
        <v>45018</v>
      </c>
      <c r="D323" s="6">
        <f t="shared" si="15"/>
        <v>45018</v>
      </c>
      <c r="E323" s="1" t="s">
        <v>11</v>
      </c>
      <c r="F323" s="1" t="s">
        <v>171</v>
      </c>
      <c r="G323" s="1" t="s">
        <v>467</v>
      </c>
      <c r="H323" s="1" cm="1">
        <f t="array" ref="H323">IF(TRIM(G323)="",
   MEDIAN(IFERROR(--SUBSTITUTE(SUBSTITUTE(SUBSTITUTE(SUBSTITUTE(SUBSTITUTE(SUBSTITUTE(G$2:G$747,"Rs.",""),"INR",""),"₹",""),"â‚¹",""),"$","")," ",""),"")),
   IFERROR(--SUBSTITUTE(SUBSTITUTE(SUBSTITUTE(SUBSTITUTE(SUBSTITUTE(SUBSTITUTE(TRIM(G323),"Rs.",""),"INR",""),"₹",""),"â‚¹",""),"$","")," ",""),"")
)</f>
        <v>6756</v>
      </c>
      <c r="I323" s="1">
        <f t="shared" si="16"/>
        <v>6756</v>
      </c>
      <c r="J323" s="1" t="str">
        <f t="shared" si="17"/>
        <v>Nill</v>
      </c>
      <c r="K323" s="1" t="s">
        <v>25</v>
      </c>
      <c r="L323" s="1" t="s">
        <v>167</v>
      </c>
      <c r="M323" s="1" t="s">
        <v>1253</v>
      </c>
      <c r="N323"/>
    </row>
    <row r="324" spans="1:14" x14ac:dyDescent="0.25">
      <c r="A324" s="1" t="s">
        <v>817</v>
      </c>
      <c r="B324" s="1" t="s">
        <v>84</v>
      </c>
      <c r="C324" s="5">
        <v>44598</v>
      </c>
      <c r="D324" s="6">
        <f t="shared" si="15"/>
        <v>44598</v>
      </c>
      <c r="E324" s="1" t="s">
        <v>11</v>
      </c>
      <c r="F324" s="1" t="s">
        <v>171</v>
      </c>
      <c r="G324" s="1" t="s">
        <v>818</v>
      </c>
      <c r="H324" s="1" cm="1">
        <f t="array" ref="H324">IF(TRIM(G324)="",
   MEDIAN(IFERROR(--SUBSTITUTE(SUBSTITUTE(SUBSTITUTE(SUBSTITUTE(SUBSTITUTE(SUBSTITUTE(G$2:G$747,"Rs.",""),"INR",""),"₹",""),"â‚¹",""),"$","")," ",""),"")),
   IFERROR(--SUBSTITUTE(SUBSTITUTE(SUBSTITUTE(SUBSTITUTE(SUBSTITUTE(SUBSTITUTE(TRIM(G324),"Rs.",""),"INR",""),"₹",""),"â‚¹",""),"$","")," ",""),"")
)</f>
        <v>33228</v>
      </c>
      <c r="I324" s="1">
        <f t="shared" si="16"/>
        <v>33228</v>
      </c>
      <c r="J324" s="1" t="str">
        <f t="shared" si="17"/>
        <v>Nill</v>
      </c>
      <c r="K324" s="1" t="s">
        <v>87</v>
      </c>
      <c r="L324" s="1" t="s">
        <v>97</v>
      </c>
      <c r="M324" s="1" t="s">
        <v>26</v>
      </c>
      <c r="N324"/>
    </row>
    <row r="325" spans="1:14" x14ac:dyDescent="0.25">
      <c r="A325" s="1" t="s">
        <v>224</v>
      </c>
      <c r="B325" s="1" t="s">
        <v>201</v>
      </c>
      <c r="C325" s="5">
        <v>45113</v>
      </c>
      <c r="D325" s="6">
        <f t="shared" si="15"/>
        <v>45113</v>
      </c>
      <c r="E325" s="1" t="s">
        <v>11</v>
      </c>
      <c r="F325" s="1" t="s">
        <v>158</v>
      </c>
      <c r="G325" s="1">
        <v>8204</v>
      </c>
      <c r="H325" s="1" cm="1">
        <f t="array" ref="H325">IF(TRIM(G325)="",
   MEDIAN(IFERROR(--SUBSTITUTE(SUBSTITUTE(SUBSTITUTE(SUBSTITUTE(SUBSTITUTE(SUBSTITUTE(G$2:G$747,"Rs.",""),"INR",""),"₹",""),"â‚¹",""),"$","")," ",""),"")),
   IFERROR(--SUBSTITUTE(SUBSTITUTE(SUBSTITUTE(SUBSTITUTE(SUBSTITUTE(SUBSTITUTE(TRIM(G325),"Rs.",""),"INR",""),"₹",""),"â‚¹",""),"$","")," ",""),"")
)</f>
        <v>8204</v>
      </c>
      <c r="I325" s="1">
        <f t="shared" si="16"/>
        <v>8204</v>
      </c>
      <c r="J325" s="1" t="str">
        <f t="shared" si="17"/>
        <v>Nill</v>
      </c>
      <c r="K325" s="1" t="s">
        <v>12</v>
      </c>
      <c r="L325" s="1" t="s">
        <v>1252</v>
      </c>
      <c r="M325" s="1" t="s">
        <v>1253</v>
      </c>
      <c r="N325"/>
    </row>
    <row r="326" spans="1:14" x14ac:dyDescent="0.25">
      <c r="A326" s="1" t="s">
        <v>790</v>
      </c>
      <c r="B326" s="1" t="s">
        <v>115</v>
      </c>
      <c r="C326" s="5">
        <v>45193</v>
      </c>
      <c r="D326" s="6">
        <f t="shared" si="15"/>
        <v>45193</v>
      </c>
      <c r="E326" s="1" t="s">
        <v>11</v>
      </c>
      <c r="F326" s="1" t="s">
        <v>85</v>
      </c>
      <c r="G326" s="1">
        <v>7858</v>
      </c>
      <c r="H326" s="1" cm="1">
        <f t="array" ref="H326">IF(TRIM(G326)="",
   MEDIAN(IFERROR(--SUBSTITUTE(SUBSTITUTE(SUBSTITUTE(SUBSTITUTE(SUBSTITUTE(SUBSTITUTE(G$2:G$747,"Rs.",""),"INR",""),"₹",""),"â‚¹",""),"$","")," ",""),"")),
   IFERROR(--SUBSTITUTE(SUBSTITUTE(SUBSTITUTE(SUBSTITUTE(SUBSTITUTE(SUBSTITUTE(TRIM(G326),"Rs.",""),"INR",""),"₹",""),"â‚¹",""),"$","")," ",""),"")
)</f>
        <v>7858</v>
      </c>
      <c r="I326" s="1">
        <f t="shared" si="16"/>
        <v>7858</v>
      </c>
      <c r="J326" s="1" t="str">
        <f t="shared" si="17"/>
        <v>Nill</v>
      </c>
      <c r="K326" s="1" t="s">
        <v>1253</v>
      </c>
      <c r="L326" s="1" t="s">
        <v>217</v>
      </c>
      <c r="M326" s="1" t="s">
        <v>49</v>
      </c>
      <c r="N326"/>
    </row>
    <row r="327" spans="1:14" x14ac:dyDescent="0.25">
      <c r="A327" s="1" t="s">
        <v>473</v>
      </c>
      <c r="B327" s="1" t="s">
        <v>43</v>
      </c>
      <c r="C327" s="5">
        <v>44200</v>
      </c>
      <c r="D327" s="6">
        <f t="shared" si="15"/>
        <v>44200</v>
      </c>
      <c r="E327" s="1" t="s">
        <v>11</v>
      </c>
      <c r="F327" s="1" t="s">
        <v>69</v>
      </c>
      <c r="G327" s="1">
        <v>3765</v>
      </c>
      <c r="H327" s="1" cm="1">
        <f t="array" ref="H327">IF(TRIM(G327)="",
   MEDIAN(IFERROR(--SUBSTITUTE(SUBSTITUTE(SUBSTITUTE(SUBSTITUTE(SUBSTITUTE(SUBSTITUTE(G$2:G$747,"Rs.",""),"INR",""),"₹",""),"â‚¹",""),"$","")," ",""),"")),
   IFERROR(--SUBSTITUTE(SUBSTITUTE(SUBSTITUTE(SUBSTITUTE(SUBSTITUTE(SUBSTITUTE(TRIM(G327),"Rs.",""),"INR",""),"₹",""),"â‚¹",""),"$","")," ",""),"")
)</f>
        <v>3765</v>
      </c>
      <c r="I327" s="1">
        <f t="shared" si="16"/>
        <v>3765</v>
      </c>
      <c r="J327" s="1" t="str">
        <f t="shared" si="17"/>
        <v>Nill</v>
      </c>
      <c r="K327" s="1" t="s">
        <v>75</v>
      </c>
      <c r="L327" s="1" t="s">
        <v>299</v>
      </c>
      <c r="M327" s="1" t="s">
        <v>252</v>
      </c>
      <c r="N327"/>
    </row>
    <row r="328" spans="1:14" x14ac:dyDescent="0.25">
      <c r="A328" s="1" t="s">
        <v>772</v>
      </c>
      <c r="B328" s="1" t="s">
        <v>773</v>
      </c>
      <c r="C328" s="5">
        <v>45577</v>
      </c>
      <c r="D328" s="6">
        <f t="shared" si="15"/>
        <v>45577</v>
      </c>
      <c r="E328" s="1" t="s">
        <v>11</v>
      </c>
      <c r="F328" s="1" t="s">
        <v>171</v>
      </c>
      <c r="G328" s="1">
        <v>26916</v>
      </c>
      <c r="H328" s="1" cm="1">
        <f t="array" ref="H328">IF(TRIM(G328)="",
   MEDIAN(IFERROR(--SUBSTITUTE(SUBSTITUTE(SUBSTITUTE(SUBSTITUTE(SUBSTITUTE(SUBSTITUTE(G$2:G$747,"Rs.",""),"INR",""),"₹",""),"â‚¹",""),"$","")," ",""),"")),
   IFERROR(--SUBSTITUTE(SUBSTITUTE(SUBSTITUTE(SUBSTITUTE(SUBSTITUTE(SUBSTITUTE(TRIM(G328),"Rs.",""),"INR",""),"₹",""),"â‚¹",""),"$","")," ",""),"")
)</f>
        <v>26916</v>
      </c>
      <c r="I328" s="1">
        <f t="shared" si="16"/>
        <v>26916</v>
      </c>
      <c r="J328" s="1" t="str">
        <f t="shared" si="17"/>
        <v>Nill</v>
      </c>
      <c r="K328" s="1" t="s">
        <v>138</v>
      </c>
      <c r="L328" s="1" t="s">
        <v>217</v>
      </c>
      <c r="M328" s="1" t="s">
        <v>210</v>
      </c>
      <c r="N328"/>
    </row>
    <row r="329" spans="1:14" x14ac:dyDescent="0.25">
      <c r="A329" s="1" t="s">
        <v>1200</v>
      </c>
      <c r="B329" s="1" t="s">
        <v>279</v>
      </c>
      <c r="C329" s="5">
        <v>44386</v>
      </c>
      <c r="D329" s="6">
        <f t="shared" si="15"/>
        <v>44386</v>
      </c>
      <c r="E329" s="1" t="s">
        <v>11</v>
      </c>
      <c r="F329" s="1" t="s">
        <v>104</v>
      </c>
      <c r="H329" s="1" cm="1">
        <f t="array" ref="H329">IF(TRIM(G329)="",
   MEDIAN(IFERROR(--SUBSTITUTE(SUBSTITUTE(SUBSTITUTE(SUBSTITUTE(SUBSTITUTE(SUBSTITUTE(G$2:G$747,"Rs.",""),"INR",""),"₹",""),"â‚¹",""),"$","")," ",""),"")),
   IFERROR(--SUBSTITUTE(SUBSTITUTE(SUBSTITUTE(SUBSTITUTE(SUBSTITUTE(SUBSTITUTE(TRIM(G329),"Rs.",""),"INR",""),"₹",""),"â‚¹",""),"$","")," ",""),"")
)</f>
        <v>5935</v>
      </c>
      <c r="I329" s="1">
        <f t="shared" si="16"/>
        <v>5935</v>
      </c>
      <c r="J329" s="1" t="str">
        <f t="shared" si="17"/>
        <v>Nill</v>
      </c>
      <c r="K329" s="1" t="s">
        <v>172</v>
      </c>
      <c r="L329" s="1" t="s">
        <v>217</v>
      </c>
      <c r="M329" s="1" t="s">
        <v>1253</v>
      </c>
      <c r="N329"/>
    </row>
    <row r="330" spans="1:14" x14ac:dyDescent="0.25">
      <c r="A330" s="1" t="s">
        <v>614</v>
      </c>
      <c r="B330" s="1" t="s">
        <v>464</v>
      </c>
      <c r="C330" s="5">
        <v>44361</v>
      </c>
      <c r="D330" s="6">
        <f t="shared" si="15"/>
        <v>44361</v>
      </c>
      <c r="E330" s="1" t="s">
        <v>11</v>
      </c>
      <c r="F330" s="1" t="s">
        <v>30</v>
      </c>
      <c r="G330" s="1">
        <v>8093</v>
      </c>
      <c r="H330" s="1" cm="1">
        <f t="array" ref="H330">IF(TRIM(G330)="",
   MEDIAN(IFERROR(--SUBSTITUTE(SUBSTITUTE(SUBSTITUTE(SUBSTITUTE(SUBSTITUTE(SUBSTITUTE(G$2:G$747,"Rs.",""),"INR",""),"₹",""),"â‚¹",""),"$","")," ",""),"")),
   IFERROR(--SUBSTITUTE(SUBSTITUTE(SUBSTITUTE(SUBSTITUTE(SUBSTITUTE(SUBSTITUTE(TRIM(G330),"Rs.",""),"INR",""),"₹",""),"â‚¹",""),"$","")," ",""),"")
)</f>
        <v>8093</v>
      </c>
      <c r="I330" s="1">
        <f t="shared" si="16"/>
        <v>8093</v>
      </c>
      <c r="J330" s="1" t="str">
        <f t="shared" si="17"/>
        <v>Nill</v>
      </c>
      <c r="K330" s="1" t="s">
        <v>31</v>
      </c>
      <c r="L330" s="1" t="s">
        <v>40</v>
      </c>
      <c r="M330" s="1" t="s">
        <v>1253</v>
      </c>
      <c r="N330"/>
    </row>
    <row r="331" spans="1:14" x14ac:dyDescent="0.25">
      <c r="A331" s="1" t="s">
        <v>727</v>
      </c>
      <c r="B331" s="1" t="s">
        <v>150</v>
      </c>
      <c r="C331" s="5">
        <v>45262</v>
      </c>
      <c r="D331" s="6">
        <f t="shared" si="15"/>
        <v>45262</v>
      </c>
      <c r="E331" s="1" t="s">
        <v>11</v>
      </c>
      <c r="F331" s="1" t="s">
        <v>69</v>
      </c>
      <c r="G331" s="1">
        <v>4426</v>
      </c>
      <c r="H331" s="1" cm="1">
        <f t="array" ref="H331">IF(TRIM(G331)="",
   MEDIAN(IFERROR(--SUBSTITUTE(SUBSTITUTE(SUBSTITUTE(SUBSTITUTE(SUBSTITUTE(SUBSTITUTE(G$2:G$747,"Rs.",""),"INR",""),"₹",""),"â‚¹",""),"$","")," ",""),"")),
   IFERROR(--SUBSTITUTE(SUBSTITUTE(SUBSTITUTE(SUBSTITUTE(SUBSTITUTE(SUBSTITUTE(TRIM(G331),"Rs.",""),"INR",""),"₹",""),"â‚¹",""),"$","")," ",""),"")
)</f>
        <v>4426</v>
      </c>
      <c r="I331" s="1">
        <f t="shared" si="16"/>
        <v>4426</v>
      </c>
      <c r="J331" s="1" t="str">
        <f t="shared" si="17"/>
        <v>Nill</v>
      </c>
      <c r="K331" s="1" t="s">
        <v>75</v>
      </c>
      <c r="L331" s="1" t="s">
        <v>1252</v>
      </c>
      <c r="M331" s="1" t="s">
        <v>252</v>
      </c>
      <c r="N331"/>
    </row>
    <row r="332" spans="1:14" x14ac:dyDescent="0.25">
      <c r="A332" s="1" t="s">
        <v>779</v>
      </c>
      <c r="B332" s="1" t="s">
        <v>412</v>
      </c>
      <c r="C332" s="5">
        <v>44483</v>
      </c>
      <c r="D332" s="6">
        <f t="shared" si="15"/>
        <v>44483</v>
      </c>
      <c r="E332" s="1" t="s">
        <v>20</v>
      </c>
      <c r="F332" s="1" t="s">
        <v>112</v>
      </c>
      <c r="G332" s="1">
        <v>67910</v>
      </c>
      <c r="H332" s="1" cm="1">
        <f t="array" ref="H332">IF(TRIM(G332)="",
   MEDIAN(IFERROR(--SUBSTITUTE(SUBSTITUTE(SUBSTITUTE(SUBSTITUTE(SUBSTITUTE(SUBSTITUTE(G$2:G$747,"Rs.",""),"INR",""),"₹",""),"â‚¹",""),"$","")," ",""),"")),
   IFERROR(--SUBSTITUTE(SUBSTITUTE(SUBSTITUTE(SUBSTITUTE(SUBSTITUTE(SUBSTITUTE(TRIM(G332),"Rs.",""),"INR",""),"₹",""),"â‚¹",""),"$","")," ",""),"")
)</f>
        <v>67910</v>
      </c>
      <c r="I332" s="1" t="str">
        <f t="shared" si="16"/>
        <v>Nill</v>
      </c>
      <c r="J332" s="1">
        <f t="shared" si="17"/>
        <v>67910</v>
      </c>
      <c r="K332" s="1" t="s">
        <v>204</v>
      </c>
      <c r="L332" s="1" t="s">
        <v>127</v>
      </c>
      <c r="M332" s="1" t="s">
        <v>54</v>
      </c>
      <c r="N332"/>
    </row>
    <row r="333" spans="1:14" x14ac:dyDescent="0.25">
      <c r="A333" s="1" t="s">
        <v>935</v>
      </c>
      <c r="B333" s="1" t="s">
        <v>153</v>
      </c>
      <c r="C333" s="5">
        <v>44788</v>
      </c>
      <c r="D333" s="6">
        <f t="shared" si="15"/>
        <v>44788</v>
      </c>
      <c r="E333" s="1" t="s">
        <v>11</v>
      </c>
      <c r="F333" s="1" t="s">
        <v>171</v>
      </c>
      <c r="G333" s="1">
        <v>5345</v>
      </c>
      <c r="H333" s="1" cm="1">
        <f t="array" ref="H333">IF(TRIM(G333)="",
   MEDIAN(IFERROR(--SUBSTITUTE(SUBSTITUTE(SUBSTITUTE(SUBSTITUTE(SUBSTITUTE(SUBSTITUTE(G$2:G$747,"Rs.",""),"INR",""),"₹",""),"â‚¹",""),"$","")," ",""),"")),
   IFERROR(--SUBSTITUTE(SUBSTITUTE(SUBSTITUTE(SUBSTITUTE(SUBSTITUTE(SUBSTITUTE(TRIM(G333),"Rs.",""),"INR",""),"₹",""),"â‚¹",""),"$","")," ",""),"")
)</f>
        <v>5345</v>
      </c>
      <c r="I333" s="1">
        <f t="shared" si="16"/>
        <v>5345</v>
      </c>
      <c r="J333" s="1" t="str">
        <f t="shared" si="17"/>
        <v>Nill</v>
      </c>
      <c r="K333" s="1" t="s">
        <v>25</v>
      </c>
      <c r="L333" s="1" t="s">
        <v>299</v>
      </c>
      <c r="M333" s="1" t="s">
        <v>190</v>
      </c>
      <c r="N333"/>
    </row>
    <row r="334" spans="1:14" x14ac:dyDescent="0.25">
      <c r="A334" s="1" t="s">
        <v>1032</v>
      </c>
      <c r="B334" s="1" t="s">
        <v>326</v>
      </c>
      <c r="C334" s="5">
        <v>45276</v>
      </c>
      <c r="D334" s="6">
        <f t="shared" si="15"/>
        <v>45276</v>
      </c>
      <c r="E334" s="1" t="s">
        <v>11</v>
      </c>
      <c r="F334" s="1" t="s">
        <v>104</v>
      </c>
      <c r="G334" s="1">
        <v>8195</v>
      </c>
      <c r="H334" s="1" cm="1">
        <f t="array" ref="H334">IF(TRIM(G334)="",
   MEDIAN(IFERROR(--SUBSTITUTE(SUBSTITUTE(SUBSTITUTE(SUBSTITUTE(SUBSTITUTE(SUBSTITUTE(G$2:G$747,"Rs.",""),"INR",""),"₹",""),"â‚¹",""),"$","")," ",""),"")),
   IFERROR(--SUBSTITUTE(SUBSTITUTE(SUBSTITUTE(SUBSTITUTE(SUBSTITUTE(SUBSTITUTE(TRIM(G334),"Rs.",""),"INR",""),"₹",""),"â‚¹",""),"$","")," ",""),"")
)</f>
        <v>8195</v>
      </c>
      <c r="I334" s="1">
        <f t="shared" si="16"/>
        <v>8195</v>
      </c>
      <c r="J334" s="1" t="str">
        <f t="shared" si="17"/>
        <v>Nill</v>
      </c>
      <c r="K334" s="1" t="s">
        <v>204</v>
      </c>
      <c r="L334" s="1" t="s">
        <v>17</v>
      </c>
      <c r="M334" s="1" t="s">
        <v>82</v>
      </c>
      <c r="N334"/>
    </row>
    <row r="335" spans="1:14" x14ac:dyDescent="0.25">
      <c r="A335" s="1" t="s">
        <v>1214</v>
      </c>
      <c r="B335" s="1" t="s">
        <v>259</v>
      </c>
      <c r="C335" s="5">
        <v>45628</v>
      </c>
      <c r="D335" s="6">
        <f t="shared" si="15"/>
        <v>45628</v>
      </c>
      <c r="E335" s="1" t="s">
        <v>11</v>
      </c>
      <c r="F335" s="1" t="s">
        <v>249</v>
      </c>
      <c r="G335" s="1">
        <v>7287</v>
      </c>
      <c r="H335" s="1" cm="1">
        <f t="array" ref="H335">IF(TRIM(G335)="",
   MEDIAN(IFERROR(--SUBSTITUTE(SUBSTITUTE(SUBSTITUTE(SUBSTITUTE(SUBSTITUTE(SUBSTITUTE(G$2:G$747,"Rs.",""),"INR",""),"₹",""),"â‚¹",""),"$","")," ",""),"")),
   IFERROR(--SUBSTITUTE(SUBSTITUTE(SUBSTITUTE(SUBSTITUTE(SUBSTITUTE(SUBSTITUTE(TRIM(G335),"Rs.",""),"INR",""),"₹",""),"â‚¹",""),"$","")," ",""),"")
)</f>
        <v>7287</v>
      </c>
      <c r="I335" s="1">
        <f t="shared" si="16"/>
        <v>7287</v>
      </c>
      <c r="J335" s="1" t="str">
        <f t="shared" si="17"/>
        <v>Nill</v>
      </c>
      <c r="K335" s="1" t="s">
        <v>172</v>
      </c>
      <c r="L335" s="1" t="s">
        <v>81</v>
      </c>
      <c r="M335" s="1" t="s">
        <v>190</v>
      </c>
      <c r="N335"/>
    </row>
    <row r="336" spans="1:14" x14ac:dyDescent="0.25">
      <c r="A336" s="1" t="s">
        <v>1175</v>
      </c>
      <c r="B336" s="1" t="s">
        <v>376</v>
      </c>
      <c r="C336" s="5">
        <v>44596</v>
      </c>
      <c r="D336" s="6">
        <f t="shared" si="15"/>
        <v>44596</v>
      </c>
      <c r="E336" s="1" t="s">
        <v>11</v>
      </c>
      <c r="F336" s="1" t="s">
        <v>171</v>
      </c>
      <c r="G336" s="1">
        <v>1690</v>
      </c>
      <c r="H336" s="1" cm="1">
        <f t="array" ref="H336">IF(TRIM(G336)="",
   MEDIAN(IFERROR(--SUBSTITUTE(SUBSTITUTE(SUBSTITUTE(SUBSTITUTE(SUBSTITUTE(SUBSTITUTE(G$2:G$747,"Rs.",""),"INR",""),"₹",""),"â‚¹",""),"$","")," ",""),"")),
   IFERROR(--SUBSTITUTE(SUBSTITUTE(SUBSTITUTE(SUBSTITUTE(SUBSTITUTE(SUBSTITUTE(TRIM(G336),"Rs.",""),"INR",""),"₹",""),"â‚¹",""),"$","")," ",""),"")
)</f>
        <v>1690</v>
      </c>
      <c r="I336" s="1">
        <f t="shared" si="16"/>
        <v>1690</v>
      </c>
      <c r="J336" s="1" t="str">
        <f t="shared" si="17"/>
        <v>Nill</v>
      </c>
      <c r="K336" s="1" t="s">
        <v>12</v>
      </c>
      <c r="L336" s="1" t="s">
        <v>167</v>
      </c>
      <c r="M336" s="1" t="s">
        <v>128</v>
      </c>
      <c r="N336"/>
    </row>
    <row r="337" spans="1:14" x14ac:dyDescent="0.25">
      <c r="A337" s="1" t="s">
        <v>200</v>
      </c>
      <c r="B337" s="1" t="s">
        <v>201</v>
      </c>
      <c r="C337" s="1" t="s">
        <v>202</v>
      </c>
      <c r="D337" s="6">
        <f t="shared" si="15"/>
        <v>44667</v>
      </c>
      <c r="E337" s="1" t="s">
        <v>11</v>
      </c>
      <c r="F337" s="1" t="s">
        <v>85</v>
      </c>
      <c r="G337" s="1">
        <v>9888</v>
      </c>
      <c r="H337" s="1" cm="1">
        <f t="array" ref="H337">IF(TRIM(G337)="",
   MEDIAN(IFERROR(--SUBSTITUTE(SUBSTITUTE(SUBSTITUTE(SUBSTITUTE(SUBSTITUTE(SUBSTITUTE(G$2:G$747,"Rs.",""),"INR",""),"₹",""),"â‚¹",""),"$","")," ",""),"")),
   IFERROR(--SUBSTITUTE(SUBSTITUTE(SUBSTITUTE(SUBSTITUTE(SUBSTITUTE(SUBSTITUTE(TRIM(G337),"Rs.",""),"INR",""),"₹",""),"â‚¹",""),"$","")," ",""),"")
)</f>
        <v>9888</v>
      </c>
      <c r="I337" s="1">
        <f t="shared" si="16"/>
        <v>9888</v>
      </c>
      <c r="J337" s="1" t="str">
        <f t="shared" si="17"/>
        <v>Nill</v>
      </c>
      <c r="K337" s="1" t="s">
        <v>75</v>
      </c>
      <c r="L337" s="1" t="s">
        <v>127</v>
      </c>
      <c r="M337" s="1" t="s">
        <v>117</v>
      </c>
      <c r="N337"/>
    </row>
    <row r="338" spans="1:14" x14ac:dyDescent="0.25">
      <c r="A338" s="1" t="s">
        <v>333</v>
      </c>
      <c r="B338" s="1" t="s">
        <v>334</v>
      </c>
      <c r="C338" s="5">
        <v>44472</v>
      </c>
      <c r="D338" s="6">
        <f t="shared" si="15"/>
        <v>44472</v>
      </c>
      <c r="E338" s="1" t="s">
        <v>11</v>
      </c>
      <c r="F338" s="1" t="s">
        <v>85</v>
      </c>
      <c r="G338" s="1" t="s">
        <v>335</v>
      </c>
      <c r="H338" s="1" cm="1">
        <f t="array" ref="H338">IF(TRIM(G338)="",
   MEDIAN(IFERROR(--SUBSTITUTE(SUBSTITUTE(SUBSTITUTE(SUBSTITUTE(SUBSTITUTE(SUBSTITUTE(G$2:G$747,"Rs.",""),"INR",""),"₹",""),"â‚¹",""),"$","")," ",""),"")),
   IFERROR(--SUBSTITUTE(SUBSTITUTE(SUBSTITUTE(SUBSTITUTE(SUBSTITUTE(SUBSTITUTE(TRIM(G338),"Rs.",""),"INR",""),"₹",""),"â‚¹",""),"$","")," ",""),"")
)</f>
        <v>9800</v>
      </c>
      <c r="I338" s="1">
        <f t="shared" si="16"/>
        <v>9800</v>
      </c>
      <c r="J338" s="1" t="str">
        <f t="shared" si="17"/>
        <v>Nill</v>
      </c>
      <c r="K338" s="1" t="s">
        <v>138</v>
      </c>
      <c r="L338" s="1" t="s">
        <v>198</v>
      </c>
      <c r="M338" s="1" t="s">
        <v>82</v>
      </c>
      <c r="N338"/>
    </row>
    <row r="339" spans="1:14" x14ac:dyDescent="0.25">
      <c r="A339" s="1" t="s">
        <v>1220</v>
      </c>
      <c r="B339" s="1" t="s">
        <v>293</v>
      </c>
      <c r="D339" s="6" t="str">
        <f t="shared" si="15"/>
        <v>unknown</v>
      </c>
      <c r="E339" s="1" t="s">
        <v>11</v>
      </c>
      <c r="F339" s="1" t="s">
        <v>30</v>
      </c>
      <c r="G339" s="1">
        <v>8468</v>
      </c>
      <c r="H339" s="1" cm="1">
        <f t="array" ref="H339">IF(TRIM(G339)="",
   MEDIAN(IFERROR(--SUBSTITUTE(SUBSTITUTE(SUBSTITUTE(SUBSTITUTE(SUBSTITUTE(SUBSTITUTE(G$2:G$747,"Rs.",""),"INR",""),"₹",""),"â‚¹",""),"$","")," ",""),"")),
   IFERROR(--SUBSTITUTE(SUBSTITUTE(SUBSTITUTE(SUBSTITUTE(SUBSTITUTE(SUBSTITUTE(TRIM(G339),"Rs.",""),"INR",""),"₹",""),"â‚¹",""),"$","")," ",""),"")
)</f>
        <v>8468</v>
      </c>
      <c r="I339" s="1">
        <f t="shared" si="16"/>
        <v>8468</v>
      </c>
      <c r="J339" s="1" t="str">
        <f t="shared" si="17"/>
        <v>Nill</v>
      </c>
      <c r="K339" s="1" t="s">
        <v>25</v>
      </c>
      <c r="L339" s="1" t="s">
        <v>299</v>
      </c>
      <c r="M339" s="1" t="s">
        <v>1253</v>
      </c>
      <c r="N339"/>
    </row>
    <row r="340" spans="1:14" x14ac:dyDescent="0.25">
      <c r="A340" s="1" t="s">
        <v>499</v>
      </c>
      <c r="B340" s="1" t="s">
        <v>96</v>
      </c>
      <c r="C340" s="1" t="s">
        <v>440</v>
      </c>
      <c r="D340" s="6">
        <f t="shared" si="15"/>
        <v>45260</v>
      </c>
      <c r="E340" s="1" t="s">
        <v>20</v>
      </c>
      <c r="F340" s="1" t="s">
        <v>239</v>
      </c>
      <c r="G340" s="1">
        <v>44932</v>
      </c>
      <c r="H340" s="1" cm="1">
        <f t="array" ref="H340">IF(TRIM(G340)="",
   MEDIAN(IFERROR(--SUBSTITUTE(SUBSTITUTE(SUBSTITUTE(SUBSTITUTE(SUBSTITUTE(SUBSTITUTE(G$2:G$747,"Rs.",""),"INR",""),"₹",""),"â‚¹",""),"$","")," ",""),"")),
   IFERROR(--SUBSTITUTE(SUBSTITUTE(SUBSTITUTE(SUBSTITUTE(SUBSTITUTE(SUBSTITUTE(TRIM(G340),"Rs.",""),"INR",""),"₹",""),"â‚¹",""),"$","")," ",""),"")
)</f>
        <v>44932</v>
      </c>
      <c r="I340" s="1" t="str">
        <f t="shared" si="16"/>
        <v>Nill</v>
      </c>
      <c r="J340" s="1">
        <f t="shared" si="17"/>
        <v>44932</v>
      </c>
      <c r="K340" s="1" t="s">
        <v>25</v>
      </c>
      <c r="L340" s="1" t="s">
        <v>217</v>
      </c>
      <c r="M340" s="1" t="s">
        <v>255</v>
      </c>
      <c r="N340"/>
    </row>
    <row r="341" spans="1:14" x14ac:dyDescent="0.25">
      <c r="A341" s="1" t="s">
        <v>211</v>
      </c>
      <c r="B341" s="1" t="s">
        <v>212</v>
      </c>
      <c r="C341" s="1" t="s">
        <v>213</v>
      </c>
      <c r="D341" s="6">
        <f t="shared" si="15"/>
        <v>44553</v>
      </c>
      <c r="E341" s="1" t="s">
        <v>11</v>
      </c>
      <c r="F341" s="1" t="s">
        <v>158</v>
      </c>
      <c r="G341" s="1" t="s">
        <v>214</v>
      </c>
      <c r="H341" s="1" cm="1">
        <f t="array" ref="H341">IF(TRIM(G341)="",
   MEDIAN(IFERROR(--SUBSTITUTE(SUBSTITUTE(SUBSTITUTE(SUBSTITUTE(SUBSTITUTE(SUBSTITUTE(G$2:G$747,"Rs.",""),"INR",""),"₹",""),"â‚¹",""),"$","")," ",""),"")),
   IFERROR(--SUBSTITUTE(SUBSTITUTE(SUBSTITUTE(SUBSTITUTE(SUBSTITUTE(SUBSTITUTE(TRIM(G341),"Rs.",""),"INR",""),"₹",""),"â‚¹",""),"$","")," ",""),"")
)</f>
        <v>7397</v>
      </c>
      <c r="I341" s="1">
        <f t="shared" si="16"/>
        <v>7397</v>
      </c>
      <c r="J341" s="1" t="str">
        <f t="shared" si="17"/>
        <v>Nill</v>
      </c>
      <c r="K341" s="1" t="s">
        <v>138</v>
      </c>
      <c r="L341" s="1" t="s">
        <v>127</v>
      </c>
      <c r="M341" s="1" t="s">
        <v>35</v>
      </c>
      <c r="N341"/>
    </row>
    <row r="342" spans="1:14" x14ac:dyDescent="0.25">
      <c r="A342" s="1" t="s">
        <v>559</v>
      </c>
      <c r="B342" s="1" t="s">
        <v>145</v>
      </c>
      <c r="C342" s="5">
        <v>44887</v>
      </c>
      <c r="D342" s="6">
        <f t="shared" si="15"/>
        <v>44887</v>
      </c>
      <c r="E342" s="1" t="s">
        <v>11</v>
      </c>
      <c r="F342" s="1" t="s">
        <v>249</v>
      </c>
      <c r="G342" s="1">
        <v>3159</v>
      </c>
      <c r="H342" s="1" cm="1">
        <f t="array" ref="H342">IF(TRIM(G342)="",
   MEDIAN(IFERROR(--SUBSTITUTE(SUBSTITUTE(SUBSTITUTE(SUBSTITUTE(SUBSTITUTE(SUBSTITUTE(G$2:G$747,"Rs.",""),"INR",""),"₹",""),"â‚¹",""),"$","")," ",""),"")),
   IFERROR(--SUBSTITUTE(SUBSTITUTE(SUBSTITUTE(SUBSTITUTE(SUBSTITUTE(SUBSTITUTE(TRIM(G342),"Rs.",""),"INR",""),"₹",""),"â‚¹",""),"$","")," ",""),"")
)</f>
        <v>3159</v>
      </c>
      <c r="I342" s="1">
        <f t="shared" si="16"/>
        <v>3159</v>
      </c>
      <c r="J342" s="1" t="str">
        <f t="shared" si="17"/>
        <v>Nill</v>
      </c>
      <c r="K342" s="1" t="s">
        <v>31</v>
      </c>
      <c r="L342" s="1" t="s">
        <v>127</v>
      </c>
      <c r="M342" s="1" t="s">
        <v>76</v>
      </c>
      <c r="N342"/>
    </row>
    <row r="343" spans="1:14" x14ac:dyDescent="0.25">
      <c r="A343" s="1" t="s">
        <v>1230</v>
      </c>
      <c r="B343" s="1" t="s">
        <v>416</v>
      </c>
      <c r="C343" s="5">
        <v>44895</v>
      </c>
      <c r="D343" s="6">
        <f t="shared" si="15"/>
        <v>44895</v>
      </c>
      <c r="E343" s="1" t="s">
        <v>11</v>
      </c>
      <c r="F343" s="1" t="s">
        <v>85</v>
      </c>
      <c r="G343" s="1">
        <v>5094</v>
      </c>
      <c r="H343" s="1" cm="1">
        <f t="array" ref="H343">IF(TRIM(G343)="",
   MEDIAN(IFERROR(--SUBSTITUTE(SUBSTITUTE(SUBSTITUTE(SUBSTITUTE(SUBSTITUTE(SUBSTITUTE(G$2:G$747,"Rs.",""),"INR",""),"₹",""),"â‚¹",""),"$","")," ",""),"")),
   IFERROR(--SUBSTITUTE(SUBSTITUTE(SUBSTITUTE(SUBSTITUTE(SUBSTITUTE(SUBSTITUTE(TRIM(G343),"Rs.",""),"INR",""),"₹",""),"â‚¹",""),"$","")," ",""),"")
)</f>
        <v>5094</v>
      </c>
      <c r="I343" s="1">
        <f t="shared" si="16"/>
        <v>5094</v>
      </c>
      <c r="J343" s="1" t="str">
        <f t="shared" si="17"/>
        <v>Nill</v>
      </c>
      <c r="K343" s="1" t="s">
        <v>138</v>
      </c>
      <c r="L343" s="1" t="s">
        <v>81</v>
      </c>
      <c r="M343" s="1" t="s">
        <v>49</v>
      </c>
      <c r="N343"/>
    </row>
    <row r="344" spans="1:14" x14ac:dyDescent="0.25">
      <c r="A344" s="1" t="s">
        <v>1124</v>
      </c>
      <c r="B344" s="1" t="s">
        <v>662</v>
      </c>
      <c r="C344" s="5">
        <v>44831</v>
      </c>
      <c r="D344" s="6">
        <f t="shared" si="15"/>
        <v>44831</v>
      </c>
      <c r="E344" s="1" t="s">
        <v>20</v>
      </c>
      <c r="F344" s="1" t="s">
        <v>52</v>
      </c>
      <c r="G344" s="1">
        <v>50800</v>
      </c>
      <c r="H344" s="1" cm="1">
        <f t="array" ref="H344">IF(TRIM(G344)="",
   MEDIAN(IFERROR(--SUBSTITUTE(SUBSTITUTE(SUBSTITUTE(SUBSTITUTE(SUBSTITUTE(SUBSTITUTE(G$2:G$747,"Rs.",""),"INR",""),"₹",""),"â‚¹",""),"$","")," ",""),"")),
   IFERROR(--SUBSTITUTE(SUBSTITUTE(SUBSTITUTE(SUBSTITUTE(SUBSTITUTE(SUBSTITUTE(TRIM(G344),"Rs.",""),"INR",""),"₹",""),"â‚¹",""),"$","")," ",""),"")
)</f>
        <v>50800</v>
      </c>
      <c r="I344" s="1" t="str">
        <f t="shared" si="16"/>
        <v>Nill</v>
      </c>
      <c r="J344" s="1">
        <f t="shared" si="17"/>
        <v>50800</v>
      </c>
      <c r="K344" s="1" t="s">
        <v>87</v>
      </c>
      <c r="L344" s="1" t="s">
        <v>217</v>
      </c>
      <c r="M344" s="1" t="s">
        <v>241</v>
      </c>
      <c r="N344"/>
    </row>
    <row r="345" spans="1:14" x14ac:dyDescent="0.25">
      <c r="A345" s="1" t="s">
        <v>545</v>
      </c>
      <c r="B345" s="1" t="s">
        <v>99</v>
      </c>
      <c r="C345" s="5">
        <v>44755</v>
      </c>
      <c r="D345" s="6">
        <f t="shared" si="15"/>
        <v>44755</v>
      </c>
      <c r="E345" s="1" t="s">
        <v>11</v>
      </c>
      <c r="F345" s="1" t="s">
        <v>249</v>
      </c>
      <c r="G345" s="1">
        <v>4923</v>
      </c>
      <c r="H345" s="1" cm="1">
        <f t="array" ref="H345">IF(TRIM(G345)="",
   MEDIAN(IFERROR(--SUBSTITUTE(SUBSTITUTE(SUBSTITUTE(SUBSTITUTE(SUBSTITUTE(SUBSTITUTE(G$2:G$747,"Rs.",""),"INR",""),"₹",""),"â‚¹",""),"$","")," ",""),"")),
   IFERROR(--SUBSTITUTE(SUBSTITUTE(SUBSTITUTE(SUBSTITUTE(SUBSTITUTE(SUBSTITUTE(TRIM(G345),"Rs.",""),"INR",""),"₹",""),"â‚¹",""),"$","")," ",""),"")
)</f>
        <v>4923</v>
      </c>
      <c r="I345" s="1">
        <f t="shared" si="16"/>
        <v>4923</v>
      </c>
      <c r="J345" s="1" t="str">
        <f t="shared" si="17"/>
        <v>Nill</v>
      </c>
      <c r="K345" s="1" t="s">
        <v>75</v>
      </c>
      <c r="L345" s="1" t="s">
        <v>198</v>
      </c>
      <c r="M345" s="1" t="s">
        <v>1253</v>
      </c>
      <c r="N345"/>
    </row>
    <row r="346" spans="1:14" x14ac:dyDescent="0.25">
      <c r="A346" s="1" t="s">
        <v>910</v>
      </c>
      <c r="B346" s="1" t="s">
        <v>509</v>
      </c>
      <c r="C346" s="5">
        <v>44281</v>
      </c>
      <c r="D346" s="6">
        <f t="shared" si="15"/>
        <v>44281</v>
      </c>
      <c r="E346" s="1" t="s">
        <v>11</v>
      </c>
      <c r="F346" s="1" t="s">
        <v>171</v>
      </c>
      <c r="G346" s="1">
        <v>6798</v>
      </c>
      <c r="H346" s="1" cm="1">
        <f t="array" ref="H346">IF(TRIM(G346)="",
   MEDIAN(IFERROR(--SUBSTITUTE(SUBSTITUTE(SUBSTITUTE(SUBSTITUTE(SUBSTITUTE(SUBSTITUTE(G$2:G$747,"Rs.",""),"INR",""),"₹",""),"â‚¹",""),"$","")," ",""),"")),
   IFERROR(--SUBSTITUTE(SUBSTITUTE(SUBSTITUTE(SUBSTITUTE(SUBSTITUTE(SUBSTITUTE(TRIM(G346),"Rs.",""),"INR",""),"₹",""),"â‚¹",""),"$","")," ",""),"")
)</f>
        <v>6798</v>
      </c>
      <c r="I346" s="1">
        <f t="shared" si="16"/>
        <v>6798</v>
      </c>
      <c r="J346" s="1" t="str">
        <f t="shared" si="17"/>
        <v>Nill</v>
      </c>
      <c r="K346" s="1" t="s">
        <v>138</v>
      </c>
      <c r="L346" s="1" t="s">
        <v>81</v>
      </c>
      <c r="M346" s="1" t="s">
        <v>117</v>
      </c>
      <c r="N346"/>
    </row>
    <row r="347" spans="1:14" x14ac:dyDescent="0.25">
      <c r="A347" s="1" t="s">
        <v>1154</v>
      </c>
      <c r="B347" s="1" t="s">
        <v>115</v>
      </c>
      <c r="C347" s="5">
        <v>44922</v>
      </c>
      <c r="D347" s="6">
        <f t="shared" si="15"/>
        <v>44922</v>
      </c>
      <c r="E347" s="1" t="s">
        <v>11</v>
      </c>
      <c r="F347" s="1" t="s">
        <v>171</v>
      </c>
      <c r="G347" s="1">
        <v>4039</v>
      </c>
      <c r="H347" s="1" cm="1">
        <f t="array" ref="H347">IF(TRIM(G347)="",
   MEDIAN(IFERROR(--SUBSTITUTE(SUBSTITUTE(SUBSTITUTE(SUBSTITUTE(SUBSTITUTE(SUBSTITUTE(G$2:G$747,"Rs.",""),"INR",""),"₹",""),"â‚¹",""),"$","")," ",""),"")),
   IFERROR(--SUBSTITUTE(SUBSTITUTE(SUBSTITUTE(SUBSTITUTE(SUBSTITUTE(SUBSTITUTE(TRIM(G347),"Rs.",""),"INR",""),"₹",""),"â‚¹",""),"$","")," ",""),"")
)</f>
        <v>4039</v>
      </c>
      <c r="I347" s="1">
        <f t="shared" si="16"/>
        <v>4039</v>
      </c>
      <c r="J347" s="1" t="str">
        <f t="shared" si="17"/>
        <v>Nill</v>
      </c>
      <c r="K347" s="1" t="s">
        <v>172</v>
      </c>
      <c r="L347" s="1" t="s">
        <v>217</v>
      </c>
      <c r="M347" s="1" t="s">
        <v>190</v>
      </c>
      <c r="N347"/>
    </row>
    <row r="348" spans="1:14" x14ac:dyDescent="0.25">
      <c r="A348" s="1" t="s">
        <v>951</v>
      </c>
      <c r="B348" s="1" t="s">
        <v>267</v>
      </c>
      <c r="C348" s="5">
        <v>45300</v>
      </c>
      <c r="D348" s="6">
        <f t="shared" si="15"/>
        <v>45300</v>
      </c>
      <c r="E348" s="1" t="s">
        <v>11</v>
      </c>
      <c r="F348" s="1" t="s">
        <v>171</v>
      </c>
      <c r="G348" s="1" t="s">
        <v>952</v>
      </c>
      <c r="H348" s="1" cm="1">
        <f t="array" ref="H348">IF(TRIM(G348)="",
   MEDIAN(IFERROR(--SUBSTITUTE(SUBSTITUTE(SUBSTITUTE(SUBSTITUTE(SUBSTITUTE(SUBSTITUTE(G$2:G$747,"Rs.",""),"INR",""),"₹",""),"â‚¹",""),"$","")," ",""),"")),
   IFERROR(--SUBSTITUTE(SUBSTITUTE(SUBSTITUTE(SUBSTITUTE(SUBSTITUTE(SUBSTITUTE(TRIM(G348),"Rs.",""),"INR",""),"₹",""),"â‚¹",""),"$","")," ",""),"")
)</f>
        <v>9237</v>
      </c>
      <c r="I348" s="1">
        <f t="shared" si="16"/>
        <v>9237</v>
      </c>
      <c r="J348" s="1" t="str">
        <f t="shared" si="17"/>
        <v>Nill</v>
      </c>
      <c r="K348" s="1" t="s">
        <v>172</v>
      </c>
      <c r="L348" s="1" t="s">
        <v>13</v>
      </c>
      <c r="M348" s="1" t="s">
        <v>1253</v>
      </c>
      <c r="N348"/>
    </row>
    <row r="349" spans="1:14" x14ac:dyDescent="0.25">
      <c r="A349" s="1" t="s">
        <v>411</v>
      </c>
      <c r="B349" s="1" t="s">
        <v>412</v>
      </c>
      <c r="C349" s="1" t="s">
        <v>413</v>
      </c>
      <c r="D349" s="6">
        <f t="shared" si="15"/>
        <v>44925</v>
      </c>
      <c r="E349" s="1" t="s">
        <v>11</v>
      </c>
      <c r="F349" s="1" t="s">
        <v>171</v>
      </c>
      <c r="G349" s="1">
        <v>1518</v>
      </c>
      <c r="H349" s="1" cm="1">
        <f t="array" ref="H349">IF(TRIM(G349)="",
   MEDIAN(IFERROR(--SUBSTITUTE(SUBSTITUTE(SUBSTITUTE(SUBSTITUTE(SUBSTITUTE(SUBSTITUTE(G$2:G$747,"Rs.",""),"INR",""),"₹",""),"â‚¹",""),"$","")," ",""),"")),
   IFERROR(--SUBSTITUTE(SUBSTITUTE(SUBSTITUTE(SUBSTITUTE(SUBSTITUTE(SUBSTITUTE(TRIM(G349),"Rs.",""),"INR",""),"₹",""),"â‚¹",""),"$","")," ",""),"")
)</f>
        <v>1518</v>
      </c>
      <c r="I349" s="1">
        <f t="shared" si="16"/>
        <v>1518</v>
      </c>
      <c r="J349" s="1" t="str">
        <f t="shared" si="17"/>
        <v>Nill</v>
      </c>
      <c r="K349" s="1" t="s">
        <v>25</v>
      </c>
      <c r="L349" s="1" t="s">
        <v>40</v>
      </c>
      <c r="M349" s="1" t="s">
        <v>26</v>
      </c>
      <c r="N349"/>
    </row>
    <row r="350" spans="1:14" x14ac:dyDescent="0.25">
      <c r="A350" s="1" t="s">
        <v>740</v>
      </c>
      <c r="B350" s="1" t="s">
        <v>344</v>
      </c>
      <c r="C350" s="5">
        <v>44561</v>
      </c>
      <c r="D350" s="6">
        <f t="shared" si="15"/>
        <v>44561</v>
      </c>
      <c r="E350" s="1" t="s">
        <v>11</v>
      </c>
      <c r="F350" s="1" t="s">
        <v>171</v>
      </c>
      <c r="G350" s="1">
        <v>9434</v>
      </c>
      <c r="H350" s="1" cm="1">
        <f t="array" ref="H350">IF(TRIM(G350)="",
   MEDIAN(IFERROR(--SUBSTITUTE(SUBSTITUTE(SUBSTITUTE(SUBSTITUTE(SUBSTITUTE(SUBSTITUTE(G$2:G$747,"Rs.",""),"INR",""),"₹",""),"â‚¹",""),"$","")," ",""),"")),
   IFERROR(--SUBSTITUTE(SUBSTITUTE(SUBSTITUTE(SUBSTITUTE(SUBSTITUTE(SUBSTITUTE(TRIM(G350),"Rs.",""),"INR",""),"₹",""),"â‚¹",""),"$","")," ",""),"")
)</f>
        <v>9434</v>
      </c>
      <c r="I350" s="1">
        <f t="shared" si="16"/>
        <v>9434</v>
      </c>
      <c r="J350" s="1" t="str">
        <f t="shared" si="17"/>
        <v>Nill</v>
      </c>
      <c r="K350" s="1" t="s">
        <v>48</v>
      </c>
      <c r="L350" s="1" t="s">
        <v>40</v>
      </c>
      <c r="M350" s="1" t="s">
        <v>1253</v>
      </c>
      <c r="N350"/>
    </row>
    <row r="351" spans="1:14" x14ac:dyDescent="0.25">
      <c r="A351" s="1" t="s">
        <v>83</v>
      </c>
      <c r="B351" s="1" t="s">
        <v>84</v>
      </c>
      <c r="C351" s="5">
        <v>44982</v>
      </c>
      <c r="D351" s="6">
        <f t="shared" si="15"/>
        <v>44982</v>
      </c>
      <c r="E351" s="1" t="s">
        <v>11</v>
      </c>
      <c r="F351" s="1" t="s">
        <v>85</v>
      </c>
      <c r="G351" s="1" t="s">
        <v>86</v>
      </c>
      <c r="H351" s="1" cm="1">
        <f t="array" ref="H351">IF(TRIM(G351)="",
   MEDIAN(IFERROR(--SUBSTITUTE(SUBSTITUTE(SUBSTITUTE(SUBSTITUTE(SUBSTITUTE(SUBSTITUTE(G$2:G$747,"Rs.",""),"INR",""),"₹",""),"â‚¹",""),"$","")," ",""),"")),
   IFERROR(--SUBSTITUTE(SUBSTITUTE(SUBSTITUTE(SUBSTITUTE(SUBSTITUTE(SUBSTITUTE(TRIM(G351),"Rs.",""),"INR",""),"₹",""),"â‚¹",""),"$","")," ",""),"")
)</f>
        <v>2553</v>
      </c>
      <c r="I351" s="1">
        <f t="shared" si="16"/>
        <v>2553</v>
      </c>
      <c r="J351" s="1" t="str">
        <f t="shared" si="17"/>
        <v>Nill</v>
      </c>
      <c r="K351" s="1" t="s">
        <v>87</v>
      </c>
      <c r="L351" s="1" t="s">
        <v>40</v>
      </c>
      <c r="M351" s="1" t="s">
        <v>88</v>
      </c>
      <c r="N351"/>
    </row>
    <row r="352" spans="1:14" x14ac:dyDescent="0.25">
      <c r="A352" s="1" t="s">
        <v>595</v>
      </c>
      <c r="B352" s="1" t="s">
        <v>596</v>
      </c>
      <c r="C352" s="5">
        <v>44791</v>
      </c>
      <c r="D352" s="6">
        <f t="shared" si="15"/>
        <v>44791</v>
      </c>
      <c r="E352" s="1" t="s">
        <v>11</v>
      </c>
      <c r="F352" s="1" t="s">
        <v>759</v>
      </c>
      <c r="G352" s="1">
        <v>8231</v>
      </c>
      <c r="H352" s="1" cm="1">
        <f t="array" ref="H352">IF(TRIM(G352)="",
   MEDIAN(IFERROR(--SUBSTITUTE(SUBSTITUTE(SUBSTITUTE(SUBSTITUTE(SUBSTITUTE(SUBSTITUTE(G$2:G$747,"Rs.",""),"INR",""),"₹",""),"â‚¹",""),"$","")," ",""),"")),
   IFERROR(--SUBSTITUTE(SUBSTITUTE(SUBSTITUTE(SUBSTITUTE(SUBSTITUTE(SUBSTITUTE(TRIM(G352),"Rs.",""),"INR",""),"₹",""),"â‚¹",""),"$","")," ",""),"")
)</f>
        <v>8231</v>
      </c>
      <c r="I352" s="1">
        <f t="shared" si="16"/>
        <v>8231</v>
      </c>
      <c r="J352" s="1" t="str">
        <f t="shared" si="17"/>
        <v>Nill</v>
      </c>
      <c r="K352" s="1" t="s">
        <v>53</v>
      </c>
      <c r="L352" s="1" t="s">
        <v>299</v>
      </c>
      <c r="M352" s="1" t="s">
        <v>255</v>
      </c>
      <c r="N352"/>
    </row>
    <row r="353" spans="1:14" x14ac:dyDescent="0.25">
      <c r="A353" s="1" t="s">
        <v>579</v>
      </c>
      <c r="B353" s="1" t="s">
        <v>442</v>
      </c>
      <c r="D353" s="6" t="str">
        <f t="shared" si="15"/>
        <v>unknown</v>
      </c>
      <c r="E353" s="1" t="s">
        <v>11</v>
      </c>
      <c r="F353" s="1" t="s">
        <v>85</v>
      </c>
      <c r="G353" s="1">
        <v>3345</v>
      </c>
      <c r="H353" s="1" cm="1">
        <f t="array" ref="H353">IF(TRIM(G353)="",
   MEDIAN(IFERROR(--SUBSTITUTE(SUBSTITUTE(SUBSTITUTE(SUBSTITUTE(SUBSTITUTE(SUBSTITUTE(G$2:G$747,"Rs.",""),"INR",""),"₹",""),"â‚¹",""),"$","")," ",""),"")),
   IFERROR(--SUBSTITUTE(SUBSTITUTE(SUBSTITUTE(SUBSTITUTE(SUBSTITUTE(SUBSTITUTE(TRIM(G353),"Rs.",""),"INR",""),"₹",""),"â‚¹",""),"$","")," ",""),"")
)</f>
        <v>3345</v>
      </c>
      <c r="I353" s="1">
        <f t="shared" si="16"/>
        <v>3345</v>
      </c>
      <c r="J353" s="1" t="str">
        <f t="shared" si="17"/>
        <v>Nill</v>
      </c>
      <c r="K353" s="1" t="s">
        <v>25</v>
      </c>
      <c r="L353" s="1" t="s">
        <v>1252</v>
      </c>
      <c r="M353" s="1" t="s">
        <v>1253</v>
      </c>
      <c r="N353"/>
    </row>
    <row r="354" spans="1:14" x14ac:dyDescent="0.25">
      <c r="A354" s="1" t="s">
        <v>441</v>
      </c>
      <c r="B354" s="1" t="s">
        <v>442</v>
      </c>
      <c r="C354" s="5">
        <v>44287</v>
      </c>
      <c r="D354" s="6">
        <f t="shared" si="15"/>
        <v>44287</v>
      </c>
      <c r="E354" s="1" t="s">
        <v>11</v>
      </c>
      <c r="F354" s="1" t="s">
        <v>69</v>
      </c>
      <c r="G354" s="1" t="s">
        <v>443</v>
      </c>
      <c r="H354" s="1" cm="1">
        <f t="array" ref="H354">IF(TRIM(G354)="",
   MEDIAN(IFERROR(--SUBSTITUTE(SUBSTITUTE(SUBSTITUTE(SUBSTITUTE(SUBSTITUTE(SUBSTITUTE(G$2:G$747,"Rs.",""),"INR",""),"₹",""),"â‚¹",""),"$","")," ",""),"")),
   IFERROR(--SUBSTITUTE(SUBSTITUTE(SUBSTITUTE(SUBSTITUTE(SUBSTITUTE(SUBSTITUTE(TRIM(G354),"Rs.",""),"INR",""),"₹",""),"â‚¹",""),"$","")," ",""),"")
)</f>
        <v>7849</v>
      </c>
      <c r="I354" s="1">
        <f t="shared" si="16"/>
        <v>7849</v>
      </c>
      <c r="J354" s="1" t="str">
        <f t="shared" si="17"/>
        <v>Nill</v>
      </c>
      <c r="K354" s="1" t="s">
        <v>1253</v>
      </c>
      <c r="L354" s="1" t="s">
        <v>167</v>
      </c>
      <c r="M354" s="1" t="s">
        <v>210</v>
      </c>
      <c r="N354"/>
    </row>
    <row r="355" spans="1:14" x14ac:dyDescent="0.25">
      <c r="A355" s="1" t="s">
        <v>812</v>
      </c>
      <c r="B355" s="1" t="s">
        <v>222</v>
      </c>
      <c r="C355" s="5">
        <v>45486</v>
      </c>
      <c r="D355" s="6">
        <f t="shared" si="15"/>
        <v>45486</v>
      </c>
      <c r="E355" s="1" t="s">
        <v>11</v>
      </c>
      <c r="F355" s="1" t="s">
        <v>249</v>
      </c>
      <c r="G355" s="1" t="s">
        <v>813</v>
      </c>
      <c r="H355" s="1" cm="1">
        <f t="array" ref="H355">IF(TRIM(G355)="",
   MEDIAN(IFERROR(--SUBSTITUTE(SUBSTITUTE(SUBSTITUTE(SUBSTITUTE(SUBSTITUTE(SUBSTITUTE(G$2:G$747,"Rs.",""),"INR",""),"₹",""),"â‚¹",""),"$","")," ",""),"")),
   IFERROR(--SUBSTITUTE(SUBSTITUTE(SUBSTITUTE(SUBSTITUTE(SUBSTITUTE(SUBSTITUTE(TRIM(G355),"Rs.",""),"INR",""),"₹",""),"â‚¹",""),"$","")," ",""),"")
)</f>
        <v>3325</v>
      </c>
      <c r="I355" s="1">
        <f t="shared" si="16"/>
        <v>3325</v>
      </c>
      <c r="J355" s="1" t="str">
        <f t="shared" si="17"/>
        <v>Nill</v>
      </c>
      <c r="K355" s="1" t="s">
        <v>53</v>
      </c>
      <c r="L355" s="1" t="s">
        <v>217</v>
      </c>
      <c r="M355" s="1" t="s">
        <v>1253</v>
      </c>
      <c r="N355"/>
    </row>
    <row r="356" spans="1:14" x14ac:dyDescent="0.25">
      <c r="A356" s="1" t="s">
        <v>1085</v>
      </c>
      <c r="B356" s="1" t="s">
        <v>24</v>
      </c>
      <c r="C356" s="1" t="s">
        <v>1086</v>
      </c>
      <c r="D356" s="6">
        <f t="shared" si="15"/>
        <v>44610</v>
      </c>
      <c r="E356" s="1" t="s">
        <v>11</v>
      </c>
      <c r="F356" s="1" t="s">
        <v>249</v>
      </c>
      <c r="G356" s="1">
        <v>4206</v>
      </c>
      <c r="H356" s="1" cm="1">
        <f t="array" ref="H356">IF(TRIM(G356)="",
   MEDIAN(IFERROR(--SUBSTITUTE(SUBSTITUTE(SUBSTITUTE(SUBSTITUTE(SUBSTITUTE(SUBSTITUTE(G$2:G$747,"Rs.",""),"INR",""),"₹",""),"â‚¹",""),"$","")," ",""),"")),
   IFERROR(--SUBSTITUTE(SUBSTITUTE(SUBSTITUTE(SUBSTITUTE(SUBSTITUTE(SUBSTITUTE(TRIM(G356),"Rs.",""),"INR",""),"₹",""),"â‚¹",""),"$","")," ",""),"")
)</f>
        <v>4206</v>
      </c>
      <c r="I356" s="1">
        <f t="shared" si="16"/>
        <v>4206</v>
      </c>
      <c r="J356" s="1" t="str">
        <f t="shared" si="17"/>
        <v>Nill</v>
      </c>
      <c r="K356" s="1" t="s">
        <v>25</v>
      </c>
      <c r="L356" s="1" t="s">
        <v>198</v>
      </c>
      <c r="M356" s="1" t="s">
        <v>1253</v>
      </c>
      <c r="N356"/>
    </row>
    <row r="357" spans="1:14" x14ac:dyDescent="0.25">
      <c r="A357" s="1" t="s">
        <v>111</v>
      </c>
      <c r="B357" s="1" t="s">
        <v>108</v>
      </c>
      <c r="C357" s="5">
        <v>44844</v>
      </c>
      <c r="D357" s="6">
        <f t="shared" si="15"/>
        <v>44844</v>
      </c>
      <c r="E357" s="1" t="s">
        <v>20</v>
      </c>
      <c r="F357" s="1" t="s">
        <v>112</v>
      </c>
      <c r="G357" s="1">
        <v>19947</v>
      </c>
      <c r="H357" s="1" cm="1">
        <f t="array" ref="H357">IF(TRIM(G357)="",
   MEDIAN(IFERROR(--SUBSTITUTE(SUBSTITUTE(SUBSTITUTE(SUBSTITUTE(SUBSTITUTE(SUBSTITUTE(G$2:G$747,"Rs.",""),"INR",""),"₹",""),"â‚¹",""),"$","")," ",""),"")),
   IFERROR(--SUBSTITUTE(SUBSTITUTE(SUBSTITUTE(SUBSTITUTE(SUBSTITUTE(SUBSTITUTE(TRIM(G357),"Rs.",""),"INR",""),"₹",""),"â‚¹",""),"$","")," ",""),"")
)</f>
        <v>19947</v>
      </c>
      <c r="I357" s="1" t="str">
        <f t="shared" si="16"/>
        <v>Nill</v>
      </c>
      <c r="J357" s="1">
        <f t="shared" si="17"/>
        <v>19947</v>
      </c>
      <c r="K357" s="1" t="s">
        <v>25</v>
      </c>
      <c r="L357" s="1" t="s">
        <v>40</v>
      </c>
      <c r="M357" s="1" t="s">
        <v>113</v>
      </c>
      <c r="N357"/>
    </row>
    <row r="358" spans="1:14" x14ac:dyDescent="0.25">
      <c r="A358" s="1" t="s">
        <v>1066</v>
      </c>
      <c r="B358" s="1" t="s">
        <v>516</v>
      </c>
      <c r="C358" s="5">
        <v>44504</v>
      </c>
      <c r="D358" s="6">
        <f t="shared" si="15"/>
        <v>44504</v>
      </c>
      <c r="E358" s="1" t="s">
        <v>11</v>
      </c>
      <c r="F358" s="1" t="s">
        <v>69</v>
      </c>
      <c r="G358" s="1">
        <v>842</v>
      </c>
      <c r="H358" s="1" cm="1">
        <f t="array" ref="H358">IF(TRIM(G358)="",
   MEDIAN(IFERROR(--SUBSTITUTE(SUBSTITUTE(SUBSTITUTE(SUBSTITUTE(SUBSTITUTE(SUBSTITUTE(G$2:G$747,"Rs.",""),"INR",""),"₹",""),"â‚¹",""),"$","")," ",""),"")),
   IFERROR(--SUBSTITUTE(SUBSTITUTE(SUBSTITUTE(SUBSTITUTE(SUBSTITUTE(SUBSTITUTE(TRIM(G358),"Rs.",""),"INR",""),"₹",""),"â‚¹",""),"$","")," ",""),"")
)</f>
        <v>842</v>
      </c>
      <c r="I358" s="1">
        <f t="shared" si="16"/>
        <v>842</v>
      </c>
      <c r="J358" s="1" t="str">
        <f t="shared" si="17"/>
        <v>Nill</v>
      </c>
      <c r="K358" s="1" t="s">
        <v>53</v>
      </c>
      <c r="L358" s="1" t="s">
        <v>81</v>
      </c>
      <c r="M358" s="1" t="s">
        <v>241</v>
      </c>
      <c r="N358"/>
    </row>
    <row r="359" spans="1:14" x14ac:dyDescent="0.25">
      <c r="A359" s="1" t="s">
        <v>531</v>
      </c>
      <c r="B359" s="1" t="s">
        <v>419</v>
      </c>
      <c r="C359" s="5">
        <v>44809</v>
      </c>
      <c r="D359" s="6">
        <f t="shared" si="15"/>
        <v>44809</v>
      </c>
      <c r="E359" s="1" t="s">
        <v>11</v>
      </c>
      <c r="F359" s="1" t="s">
        <v>171</v>
      </c>
      <c r="G359" s="1" t="s">
        <v>532</v>
      </c>
      <c r="H359" s="1" cm="1">
        <f t="array" ref="H359">IF(TRIM(G359)="",
   MEDIAN(IFERROR(--SUBSTITUTE(SUBSTITUTE(SUBSTITUTE(SUBSTITUTE(SUBSTITUTE(SUBSTITUTE(G$2:G$747,"Rs.",""),"INR",""),"₹",""),"â‚¹",""),"$","")," ",""),"")),
   IFERROR(--SUBSTITUTE(SUBSTITUTE(SUBSTITUTE(SUBSTITUTE(SUBSTITUTE(SUBSTITUTE(TRIM(G359),"Rs.",""),"INR",""),"₹",""),"â‚¹",""),"$","")," ",""),"")
)</f>
        <v>35588</v>
      </c>
      <c r="I359" s="1">
        <f t="shared" si="16"/>
        <v>35588</v>
      </c>
      <c r="J359" s="1" t="str">
        <f t="shared" si="17"/>
        <v>Nill</v>
      </c>
      <c r="K359" s="1" t="s">
        <v>261</v>
      </c>
      <c r="L359" s="1" t="s">
        <v>97</v>
      </c>
      <c r="M359" s="1" t="s">
        <v>49</v>
      </c>
      <c r="N359"/>
    </row>
    <row r="360" spans="1:14" x14ac:dyDescent="0.25">
      <c r="A360" s="1" t="s">
        <v>1168</v>
      </c>
      <c r="B360" s="1" t="s">
        <v>169</v>
      </c>
      <c r="C360" s="5">
        <v>45131</v>
      </c>
      <c r="D360" s="6">
        <f t="shared" si="15"/>
        <v>45131</v>
      </c>
      <c r="E360" s="1" t="s">
        <v>11</v>
      </c>
      <c r="F360" s="1" t="s">
        <v>171</v>
      </c>
      <c r="G360" s="1">
        <v>9804</v>
      </c>
      <c r="H360" s="1" cm="1">
        <f t="array" ref="H360">IF(TRIM(G360)="",
   MEDIAN(IFERROR(--SUBSTITUTE(SUBSTITUTE(SUBSTITUTE(SUBSTITUTE(SUBSTITUTE(SUBSTITUTE(G$2:G$747,"Rs.",""),"INR",""),"₹",""),"â‚¹",""),"$","")," ",""),"")),
   IFERROR(--SUBSTITUTE(SUBSTITUTE(SUBSTITUTE(SUBSTITUTE(SUBSTITUTE(SUBSTITUTE(TRIM(G360),"Rs.",""),"INR",""),"₹",""),"â‚¹",""),"$","")," ",""),"")
)</f>
        <v>9804</v>
      </c>
      <c r="I360" s="1">
        <f t="shared" si="16"/>
        <v>9804</v>
      </c>
      <c r="J360" s="1" t="str">
        <f t="shared" si="17"/>
        <v>Nill</v>
      </c>
      <c r="K360" s="1" t="s">
        <v>261</v>
      </c>
      <c r="L360" s="1" t="s">
        <v>81</v>
      </c>
      <c r="M360" s="1" t="s">
        <v>179</v>
      </c>
      <c r="N360"/>
    </row>
    <row r="361" spans="1:14" x14ac:dyDescent="0.25">
      <c r="A361" s="1" t="s">
        <v>703</v>
      </c>
      <c r="B361" s="1" t="s">
        <v>197</v>
      </c>
      <c r="C361" s="5">
        <v>44286</v>
      </c>
      <c r="D361" s="6">
        <f t="shared" si="15"/>
        <v>44286</v>
      </c>
      <c r="E361" s="1" t="s">
        <v>11</v>
      </c>
      <c r="F361" s="1" t="s">
        <v>85</v>
      </c>
      <c r="G361" s="1">
        <v>3645</v>
      </c>
      <c r="H361" s="1" cm="1">
        <f t="array" ref="H361">IF(TRIM(G361)="",
   MEDIAN(IFERROR(--SUBSTITUTE(SUBSTITUTE(SUBSTITUTE(SUBSTITUTE(SUBSTITUTE(SUBSTITUTE(G$2:G$747,"Rs.",""),"INR",""),"₹",""),"â‚¹",""),"$","")," ",""),"")),
   IFERROR(--SUBSTITUTE(SUBSTITUTE(SUBSTITUTE(SUBSTITUTE(SUBSTITUTE(SUBSTITUTE(TRIM(G361),"Rs.",""),"INR",""),"₹",""),"â‚¹",""),"$","")," ",""),"")
)</f>
        <v>3645</v>
      </c>
      <c r="I361" s="1">
        <f t="shared" si="16"/>
        <v>3645</v>
      </c>
      <c r="J361" s="1" t="str">
        <f t="shared" si="17"/>
        <v>Nill</v>
      </c>
      <c r="K361" s="1" t="s">
        <v>1253</v>
      </c>
      <c r="L361" s="1" t="s">
        <v>40</v>
      </c>
      <c r="M361" s="1" t="s">
        <v>122</v>
      </c>
      <c r="N361"/>
    </row>
    <row r="362" spans="1:14" x14ac:dyDescent="0.25">
      <c r="A362" s="1" t="s">
        <v>1218</v>
      </c>
      <c r="B362" s="1" t="s">
        <v>576</v>
      </c>
      <c r="C362" s="5">
        <v>44614</v>
      </c>
      <c r="D362" s="6">
        <f t="shared" si="15"/>
        <v>44614</v>
      </c>
      <c r="E362" s="1" t="s">
        <v>11</v>
      </c>
      <c r="F362" s="1" t="s">
        <v>85</v>
      </c>
      <c r="G362" s="1">
        <v>7173</v>
      </c>
      <c r="H362" s="1" cm="1">
        <f t="array" ref="H362">IF(TRIM(G362)="",
   MEDIAN(IFERROR(--SUBSTITUTE(SUBSTITUTE(SUBSTITUTE(SUBSTITUTE(SUBSTITUTE(SUBSTITUTE(G$2:G$747,"Rs.",""),"INR",""),"₹",""),"â‚¹",""),"$","")," ",""),"")),
   IFERROR(--SUBSTITUTE(SUBSTITUTE(SUBSTITUTE(SUBSTITUTE(SUBSTITUTE(SUBSTITUTE(TRIM(G362),"Rs.",""),"INR",""),"₹",""),"â‚¹",""),"$","")," ",""),"")
)</f>
        <v>7173</v>
      </c>
      <c r="I362" s="1">
        <f t="shared" si="16"/>
        <v>7173</v>
      </c>
      <c r="J362" s="1" t="str">
        <f t="shared" si="17"/>
        <v>Nill</v>
      </c>
      <c r="K362" s="1" t="s">
        <v>75</v>
      </c>
      <c r="L362" s="1" t="s">
        <v>17</v>
      </c>
      <c r="M362" s="1" t="s">
        <v>117</v>
      </c>
      <c r="N362"/>
    </row>
    <row r="363" spans="1:14" x14ac:dyDescent="0.25">
      <c r="A363" s="1" t="s">
        <v>1059</v>
      </c>
      <c r="B363" s="1" t="s">
        <v>64</v>
      </c>
      <c r="C363" s="1" t="s">
        <v>1060</v>
      </c>
      <c r="D363" s="6">
        <f t="shared" si="15"/>
        <v>45487</v>
      </c>
      <c r="E363" s="1" t="s">
        <v>11</v>
      </c>
      <c r="F363" s="1" t="s">
        <v>158</v>
      </c>
      <c r="G363" s="1">
        <v>4942</v>
      </c>
      <c r="H363" s="1" cm="1">
        <f t="array" ref="H363">IF(TRIM(G363)="",
   MEDIAN(IFERROR(--SUBSTITUTE(SUBSTITUTE(SUBSTITUTE(SUBSTITUTE(SUBSTITUTE(SUBSTITUTE(G$2:G$747,"Rs.",""),"INR",""),"₹",""),"â‚¹",""),"$","")," ",""),"")),
   IFERROR(--SUBSTITUTE(SUBSTITUTE(SUBSTITUTE(SUBSTITUTE(SUBSTITUTE(SUBSTITUTE(TRIM(G363),"Rs.",""),"INR",""),"₹",""),"â‚¹",""),"$","")," ",""),"")
)</f>
        <v>4942</v>
      </c>
      <c r="I363" s="1">
        <f t="shared" si="16"/>
        <v>4942</v>
      </c>
      <c r="J363" s="1" t="str">
        <f t="shared" si="17"/>
        <v>Nill</v>
      </c>
      <c r="K363" s="1" t="s">
        <v>53</v>
      </c>
      <c r="L363" s="1" t="s">
        <v>81</v>
      </c>
      <c r="M363" s="1" t="s">
        <v>241</v>
      </c>
      <c r="N363"/>
    </row>
    <row r="364" spans="1:14" x14ac:dyDescent="0.25">
      <c r="A364" s="1" t="s">
        <v>1012</v>
      </c>
      <c r="B364" s="1" t="s">
        <v>124</v>
      </c>
      <c r="C364" s="5">
        <v>44772</v>
      </c>
      <c r="D364" s="6">
        <f t="shared" si="15"/>
        <v>44772</v>
      </c>
      <c r="E364" s="1" t="s">
        <v>20</v>
      </c>
      <c r="F364" s="1" t="s">
        <v>21</v>
      </c>
      <c r="G364" s="1">
        <v>37631</v>
      </c>
      <c r="H364" s="1" cm="1">
        <f t="array" ref="H364">IF(TRIM(G364)="",
   MEDIAN(IFERROR(--SUBSTITUTE(SUBSTITUTE(SUBSTITUTE(SUBSTITUTE(SUBSTITUTE(SUBSTITUTE(G$2:G$747,"Rs.",""),"INR",""),"₹",""),"â‚¹",""),"$","")," ",""),"")),
   IFERROR(--SUBSTITUTE(SUBSTITUTE(SUBSTITUTE(SUBSTITUTE(SUBSTITUTE(SUBSTITUTE(TRIM(G364),"Rs.",""),"INR",""),"₹",""),"â‚¹",""),"$","")," ",""),"")
)</f>
        <v>37631</v>
      </c>
      <c r="I364" s="1" t="str">
        <f t="shared" si="16"/>
        <v>Nill</v>
      </c>
      <c r="J364" s="1">
        <f t="shared" si="17"/>
        <v>37631</v>
      </c>
      <c r="K364" s="1" t="s">
        <v>12</v>
      </c>
      <c r="L364" s="1" t="s">
        <v>198</v>
      </c>
      <c r="M364" s="1" t="s">
        <v>252</v>
      </c>
      <c r="N364"/>
    </row>
    <row r="365" spans="1:14" x14ac:dyDescent="0.25">
      <c r="A365" s="1" t="s">
        <v>63</v>
      </c>
      <c r="B365" s="1" t="s">
        <v>64</v>
      </c>
      <c r="C365" s="1" t="s">
        <v>65</v>
      </c>
      <c r="D365" s="6">
        <f t="shared" si="15"/>
        <v>44616</v>
      </c>
      <c r="E365" s="1" t="s">
        <v>11</v>
      </c>
      <c r="F365" s="1" t="s">
        <v>171</v>
      </c>
      <c r="G365" s="1">
        <v>23760</v>
      </c>
      <c r="H365" s="1" cm="1">
        <f t="array" ref="H365">IF(TRIM(G365)="",
   MEDIAN(IFERROR(--SUBSTITUTE(SUBSTITUTE(SUBSTITUTE(SUBSTITUTE(SUBSTITUTE(SUBSTITUTE(G$2:G$747,"Rs.",""),"INR",""),"₹",""),"â‚¹",""),"$","")," ",""),"")),
   IFERROR(--SUBSTITUTE(SUBSTITUTE(SUBSTITUTE(SUBSTITUTE(SUBSTITUTE(SUBSTITUTE(TRIM(G365),"Rs.",""),"INR",""),"₹",""),"â‚¹",""),"$","")," ",""),"")
)</f>
        <v>23760</v>
      </c>
      <c r="I365" s="1">
        <f t="shared" si="16"/>
        <v>23760</v>
      </c>
      <c r="J365" s="1" t="str">
        <f t="shared" si="17"/>
        <v>Nill</v>
      </c>
      <c r="K365" s="1" t="s">
        <v>12</v>
      </c>
      <c r="L365" s="1" t="s">
        <v>81</v>
      </c>
      <c r="M365" s="1" t="s">
        <v>26</v>
      </c>
      <c r="N365"/>
    </row>
    <row r="366" spans="1:14" x14ac:dyDescent="0.25">
      <c r="A366" s="1" t="s">
        <v>1044</v>
      </c>
      <c r="B366" s="1" t="s">
        <v>747</v>
      </c>
      <c r="C366" s="1" t="s">
        <v>453</v>
      </c>
      <c r="D366" s="6">
        <f t="shared" si="15"/>
        <v>44914</v>
      </c>
      <c r="E366" s="1" t="s">
        <v>11</v>
      </c>
      <c r="F366" s="1" t="s">
        <v>171</v>
      </c>
      <c r="G366" s="1">
        <v>14582</v>
      </c>
      <c r="H366" s="1" cm="1">
        <f t="array" ref="H366">IF(TRIM(G366)="",
   MEDIAN(IFERROR(--SUBSTITUTE(SUBSTITUTE(SUBSTITUTE(SUBSTITUTE(SUBSTITUTE(SUBSTITUTE(G$2:G$747,"Rs.",""),"INR",""),"₹",""),"â‚¹",""),"$","")," ",""),"")),
   IFERROR(--SUBSTITUTE(SUBSTITUTE(SUBSTITUTE(SUBSTITUTE(SUBSTITUTE(SUBSTITUTE(TRIM(G366),"Rs.",""),"INR",""),"₹",""),"â‚¹",""),"$","")," ",""),"")
)</f>
        <v>14582</v>
      </c>
      <c r="I366" s="1">
        <f t="shared" si="16"/>
        <v>14582</v>
      </c>
      <c r="J366" s="1" t="str">
        <f t="shared" si="17"/>
        <v>Nill</v>
      </c>
      <c r="K366" s="1" t="s">
        <v>48</v>
      </c>
      <c r="L366" s="1" t="s">
        <v>127</v>
      </c>
      <c r="M366" s="1" t="s">
        <v>122</v>
      </c>
      <c r="N366"/>
    </row>
    <row r="367" spans="1:14" x14ac:dyDescent="0.25">
      <c r="A367" s="1" t="s">
        <v>1092</v>
      </c>
      <c r="B367" s="1" t="s">
        <v>438</v>
      </c>
      <c r="C367" s="5">
        <v>45312</v>
      </c>
      <c r="D367" s="6">
        <f t="shared" si="15"/>
        <v>45312</v>
      </c>
      <c r="E367" s="1" t="s">
        <v>11</v>
      </c>
      <c r="F367" s="1" t="s">
        <v>85</v>
      </c>
      <c r="G367" s="1">
        <v>744</v>
      </c>
      <c r="H367" s="1" cm="1">
        <f t="array" ref="H367">IF(TRIM(G367)="",
   MEDIAN(IFERROR(--SUBSTITUTE(SUBSTITUTE(SUBSTITUTE(SUBSTITUTE(SUBSTITUTE(SUBSTITUTE(G$2:G$747,"Rs.",""),"INR",""),"₹",""),"â‚¹",""),"$","")," ",""),"")),
   IFERROR(--SUBSTITUTE(SUBSTITUTE(SUBSTITUTE(SUBSTITUTE(SUBSTITUTE(SUBSTITUTE(TRIM(G367),"Rs.",""),"INR",""),"₹",""),"â‚¹",""),"$","")," ",""),"")
)</f>
        <v>744</v>
      </c>
      <c r="I367" s="1">
        <f t="shared" si="16"/>
        <v>744</v>
      </c>
      <c r="J367" s="1" t="str">
        <f t="shared" si="17"/>
        <v>Nill</v>
      </c>
      <c r="K367" s="1" t="s">
        <v>75</v>
      </c>
      <c r="L367" s="1" t="s">
        <v>299</v>
      </c>
      <c r="M367" s="1" t="s">
        <v>1253</v>
      </c>
      <c r="N367"/>
    </row>
    <row r="368" spans="1:14" x14ac:dyDescent="0.25">
      <c r="A368" s="1" t="s">
        <v>263</v>
      </c>
      <c r="B368" s="1" t="s">
        <v>10</v>
      </c>
      <c r="C368" s="5">
        <v>44388</v>
      </c>
      <c r="D368" s="6">
        <f t="shared" si="15"/>
        <v>44388</v>
      </c>
      <c r="E368" s="1" t="s">
        <v>11</v>
      </c>
      <c r="F368" s="1" t="s">
        <v>171</v>
      </c>
      <c r="G368" s="1">
        <v>2966</v>
      </c>
      <c r="H368" s="1" cm="1">
        <f t="array" ref="H368">IF(TRIM(G368)="",
   MEDIAN(IFERROR(--SUBSTITUTE(SUBSTITUTE(SUBSTITUTE(SUBSTITUTE(SUBSTITUTE(SUBSTITUTE(G$2:G$747,"Rs.",""),"INR",""),"₹",""),"â‚¹",""),"$","")," ",""),"")),
   IFERROR(--SUBSTITUTE(SUBSTITUTE(SUBSTITUTE(SUBSTITUTE(SUBSTITUTE(SUBSTITUTE(TRIM(G368),"Rs.",""),"INR",""),"₹",""),"â‚¹",""),"$","")," ",""),"")
)</f>
        <v>2966</v>
      </c>
      <c r="I368" s="1">
        <f t="shared" si="16"/>
        <v>2966</v>
      </c>
      <c r="J368" s="1" t="str">
        <f t="shared" si="17"/>
        <v>Nill</v>
      </c>
      <c r="K368" s="1" t="s">
        <v>138</v>
      </c>
      <c r="L368" s="1" t="s">
        <v>81</v>
      </c>
      <c r="M368" s="1" t="s">
        <v>190</v>
      </c>
      <c r="N368"/>
    </row>
    <row r="369" spans="1:14" x14ac:dyDescent="0.25">
      <c r="A369" s="1" t="s">
        <v>483</v>
      </c>
      <c r="B369" s="1" t="s">
        <v>484</v>
      </c>
      <c r="C369" s="5">
        <v>44266</v>
      </c>
      <c r="D369" s="6">
        <f t="shared" si="15"/>
        <v>44266</v>
      </c>
      <c r="E369" s="1" t="s">
        <v>11</v>
      </c>
      <c r="F369" s="1" t="s">
        <v>30</v>
      </c>
      <c r="G369" s="1" t="s">
        <v>485</v>
      </c>
      <c r="H369" s="1" cm="1">
        <f t="array" ref="H369">IF(TRIM(G369)="",
   MEDIAN(IFERROR(--SUBSTITUTE(SUBSTITUTE(SUBSTITUTE(SUBSTITUTE(SUBSTITUTE(SUBSTITUTE(G$2:G$747,"Rs.",""),"INR",""),"₹",""),"â‚¹",""),"$","")," ",""),"")),
   IFERROR(--SUBSTITUTE(SUBSTITUTE(SUBSTITUTE(SUBSTITUTE(SUBSTITUTE(SUBSTITUTE(TRIM(G369),"Rs.",""),"INR",""),"₹",""),"â‚¹",""),"$","")," ",""),"")
)</f>
        <v>8230</v>
      </c>
      <c r="I369" s="1">
        <f t="shared" si="16"/>
        <v>8230</v>
      </c>
      <c r="J369" s="1" t="str">
        <f t="shared" si="17"/>
        <v>Nill</v>
      </c>
      <c r="K369" s="1" t="s">
        <v>25</v>
      </c>
      <c r="L369" s="1" t="s">
        <v>40</v>
      </c>
      <c r="M369" s="1" t="s">
        <v>190</v>
      </c>
      <c r="N369"/>
    </row>
    <row r="370" spans="1:14" x14ac:dyDescent="0.25">
      <c r="A370" s="1" t="s">
        <v>704</v>
      </c>
      <c r="B370" s="1" t="s">
        <v>293</v>
      </c>
      <c r="C370" s="5">
        <v>45002</v>
      </c>
      <c r="D370" s="6">
        <f t="shared" si="15"/>
        <v>45002</v>
      </c>
      <c r="E370" s="1" t="s">
        <v>11</v>
      </c>
      <c r="F370" s="1" t="s">
        <v>465</v>
      </c>
      <c r="G370" s="1">
        <v>5958</v>
      </c>
      <c r="H370" s="1" cm="1">
        <f t="array" ref="H370">IF(TRIM(G370)="",
   MEDIAN(IFERROR(--SUBSTITUTE(SUBSTITUTE(SUBSTITUTE(SUBSTITUTE(SUBSTITUTE(SUBSTITUTE(G$2:G$747,"Rs.",""),"INR",""),"₹",""),"â‚¹",""),"$","")," ",""),"")),
   IFERROR(--SUBSTITUTE(SUBSTITUTE(SUBSTITUTE(SUBSTITUTE(SUBSTITUTE(SUBSTITUTE(TRIM(G370),"Rs.",""),"INR",""),"₹",""),"â‚¹",""),"$","")," ",""),"")
)</f>
        <v>5958</v>
      </c>
      <c r="I370" s="1">
        <f t="shared" si="16"/>
        <v>5958</v>
      </c>
      <c r="J370" s="1" t="str">
        <f t="shared" si="17"/>
        <v>Nill</v>
      </c>
      <c r="K370" s="1" t="s">
        <v>75</v>
      </c>
      <c r="L370" s="1" t="s">
        <v>198</v>
      </c>
      <c r="M370" s="1" t="s">
        <v>82</v>
      </c>
      <c r="N370"/>
    </row>
    <row r="371" spans="1:14" x14ac:dyDescent="0.25">
      <c r="A371" s="1" t="s">
        <v>114</v>
      </c>
      <c r="B371" s="1" t="s">
        <v>115</v>
      </c>
      <c r="C371" s="5">
        <v>44338</v>
      </c>
      <c r="D371" s="6">
        <f t="shared" si="15"/>
        <v>44338</v>
      </c>
      <c r="E371" s="1" t="s">
        <v>11</v>
      </c>
      <c r="F371" s="1" t="s">
        <v>69</v>
      </c>
      <c r="G371" s="1" t="s">
        <v>116</v>
      </c>
      <c r="H371" s="1" cm="1">
        <f t="array" ref="H371">IF(TRIM(G371)="",
   MEDIAN(IFERROR(--SUBSTITUTE(SUBSTITUTE(SUBSTITUTE(SUBSTITUTE(SUBSTITUTE(SUBSTITUTE(G$2:G$747,"Rs.",""),"INR",""),"₹",""),"â‚¹",""),"$","")," ",""),"")),
   IFERROR(--SUBSTITUTE(SUBSTITUTE(SUBSTITUTE(SUBSTITUTE(SUBSTITUTE(SUBSTITUTE(TRIM(G371),"Rs.",""),"INR",""),"₹",""),"â‚¹",""),"$","")," ",""),"")
)</f>
        <v>5107</v>
      </c>
      <c r="I371" s="1">
        <f t="shared" si="16"/>
        <v>5107</v>
      </c>
      <c r="J371" s="1" t="str">
        <f t="shared" si="17"/>
        <v>Nill</v>
      </c>
      <c r="K371" s="1" t="s">
        <v>48</v>
      </c>
      <c r="L371" s="1" t="s">
        <v>1252</v>
      </c>
      <c r="M371" s="1" t="s">
        <v>117</v>
      </c>
      <c r="N371"/>
    </row>
    <row r="372" spans="1:14" x14ac:dyDescent="0.25">
      <c r="A372" s="1" t="s">
        <v>73</v>
      </c>
      <c r="B372" s="1" t="s">
        <v>74</v>
      </c>
      <c r="C372" s="5">
        <v>45490</v>
      </c>
      <c r="D372" s="6">
        <f t="shared" si="15"/>
        <v>45490</v>
      </c>
      <c r="E372" s="1" t="s">
        <v>11</v>
      </c>
      <c r="F372" s="1" t="s">
        <v>171</v>
      </c>
      <c r="G372" s="1">
        <v>9567</v>
      </c>
      <c r="H372" s="1" cm="1">
        <f t="array" ref="H372">IF(TRIM(G372)="",
   MEDIAN(IFERROR(--SUBSTITUTE(SUBSTITUTE(SUBSTITUTE(SUBSTITUTE(SUBSTITUTE(SUBSTITUTE(G$2:G$747,"Rs.",""),"INR",""),"₹",""),"â‚¹",""),"$","")," ",""),"")),
   IFERROR(--SUBSTITUTE(SUBSTITUTE(SUBSTITUTE(SUBSTITUTE(SUBSTITUTE(SUBSTITUTE(TRIM(G372),"Rs.",""),"INR",""),"₹",""),"â‚¹",""),"$","")," ",""),"")
)</f>
        <v>9567</v>
      </c>
      <c r="I372" s="1">
        <f t="shared" si="16"/>
        <v>9567</v>
      </c>
      <c r="J372" s="1" t="str">
        <f t="shared" si="17"/>
        <v>Nill</v>
      </c>
      <c r="K372" s="1" t="s">
        <v>75</v>
      </c>
      <c r="L372" s="1" t="s">
        <v>167</v>
      </c>
      <c r="M372" s="1" t="s">
        <v>76</v>
      </c>
      <c r="N372"/>
    </row>
    <row r="373" spans="1:14" x14ac:dyDescent="0.25">
      <c r="A373" s="1" t="s">
        <v>505</v>
      </c>
      <c r="B373" s="1" t="s">
        <v>506</v>
      </c>
      <c r="C373" s="5">
        <v>45047</v>
      </c>
      <c r="D373" s="6">
        <f t="shared" si="15"/>
        <v>45047</v>
      </c>
      <c r="E373" s="1" t="s">
        <v>11</v>
      </c>
      <c r="F373" s="1" t="s">
        <v>171</v>
      </c>
      <c r="G373" s="1" t="s">
        <v>507</v>
      </c>
      <c r="H373" s="1" cm="1">
        <f t="array" ref="H373">IF(TRIM(G373)="",
   MEDIAN(IFERROR(--SUBSTITUTE(SUBSTITUTE(SUBSTITUTE(SUBSTITUTE(SUBSTITUTE(SUBSTITUTE(G$2:G$747,"Rs.",""),"INR",""),"₹",""),"â‚¹",""),"$","")," ",""),"")),
   IFERROR(--SUBSTITUTE(SUBSTITUTE(SUBSTITUTE(SUBSTITUTE(SUBSTITUTE(SUBSTITUTE(TRIM(G373),"Rs.",""),"INR",""),"₹",""),"â‚¹",""),"$","")," ",""),"")
)</f>
        <v>6779</v>
      </c>
      <c r="I373" s="1">
        <f t="shared" si="16"/>
        <v>6779</v>
      </c>
      <c r="J373" s="1" t="str">
        <f t="shared" si="17"/>
        <v>Nill</v>
      </c>
      <c r="K373" s="1" t="s">
        <v>138</v>
      </c>
      <c r="L373" s="1" t="s">
        <v>127</v>
      </c>
      <c r="M373" s="1" t="s">
        <v>241</v>
      </c>
      <c r="N373"/>
    </row>
    <row r="374" spans="1:14" x14ac:dyDescent="0.25">
      <c r="A374" s="1" t="s">
        <v>1071</v>
      </c>
      <c r="B374" s="1" t="s">
        <v>254</v>
      </c>
      <c r="C374" s="5">
        <v>44951</v>
      </c>
      <c r="D374" s="6">
        <f t="shared" si="15"/>
        <v>44951</v>
      </c>
      <c r="E374" s="1" t="s">
        <v>11</v>
      </c>
      <c r="F374" s="1" t="s">
        <v>171</v>
      </c>
      <c r="G374" s="1">
        <v>9301</v>
      </c>
      <c r="H374" s="1" cm="1">
        <f t="array" ref="H374">IF(TRIM(G374)="",
   MEDIAN(IFERROR(--SUBSTITUTE(SUBSTITUTE(SUBSTITUTE(SUBSTITUTE(SUBSTITUTE(SUBSTITUTE(G$2:G$747,"Rs.",""),"INR",""),"₹",""),"â‚¹",""),"$","")," ",""),"")),
   IFERROR(--SUBSTITUTE(SUBSTITUTE(SUBSTITUTE(SUBSTITUTE(SUBSTITUTE(SUBSTITUTE(TRIM(G374),"Rs.",""),"INR",""),"₹",""),"â‚¹",""),"$","")," ",""),"")
)</f>
        <v>9301</v>
      </c>
      <c r="I374" s="1">
        <f t="shared" si="16"/>
        <v>9301</v>
      </c>
      <c r="J374" s="1" t="str">
        <f t="shared" si="17"/>
        <v>Nill</v>
      </c>
      <c r="K374" s="1" t="s">
        <v>204</v>
      </c>
      <c r="L374" s="1" t="s">
        <v>13</v>
      </c>
      <c r="M374" s="1" t="s">
        <v>113</v>
      </c>
      <c r="N374"/>
    </row>
    <row r="375" spans="1:14" x14ac:dyDescent="0.25">
      <c r="A375" s="1" t="s">
        <v>940</v>
      </c>
      <c r="B375" s="1" t="s">
        <v>115</v>
      </c>
      <c r="C375" s="5">
        <v>45622</v>
      </c>
      <c r="D375" s="6">
        <f t="shared" si="15"/>
        <v>45622</v>
      </c>
      <c r="E375" s="1" t="s">
        <v>11</v>
      </c>
      <c r="F375" s="1" t="s">
        <v>85</v>
      </c>
      <c r="G375" s="1">
        <v>409</v>
      </c>
      <c r="H375" s="1" cm="1">
        <f t="array" ref="H375">IF(TRIM(G375)="",
   MEDIAN(IFERROR(--SUBSTITUTE(SUBSTITUTE(SUBSTITUTE(SUBSTITUTE(SUBSTITUTE(SUBSTITUTE(G$2:G$747,"Rs.",""),"INR",""),"₹",""),"â‚¹",""),"$","")," ",""),"")),
   IFERROR(--SUBSTITUTE(SUBSTITUTE(SUBSTITUTE(SUBSTITUTE(SUBSTITUTE(SUBSTITUTE(TRIM(G375),"Rs.",""),"INR",""),"₹",""),"â‚¹",""),"$","")," ",""),"")
)</f>
        <v>409</v>
      </c>
      <c r="I375" s="1">
        <f t="shared" si="16"/>
        <v>409</v>
      </c>
      <c r="J375" s="1" t="str">
        <f t="shared" si="17"/>
        <v>Nill</v>
      </c>
      <c r="K375" s="1" t="s">
        <v>53</v>
      </c>
      <c r="L375" s="1" t="s">
        <v>167</v>
      </c>
      <c r="M375" s="1" t="s">
        <v>76</v>
      </c>
      <c r="N375"/>
    </row>
    <row r="376" spans="1:14" x14ac:dyDescent="0.25">
      <c r="A376" s="1" t="s">
        <v>371</v>
      </c>
      <c r="B376" s="1" t="s">
        <v>324</v>
      </c>
      <c r="C376" s="5">
        <v>44528</v>
      </c>
      <c r="D376" s="6">
        <f t="shared" si="15"/>
        <v>44528</v>
      </c>
      <c r="E376" s="1" t="s">
        <v>20</v>
      </c>
      <c r="F376" s="1" t="s">
        <v>239</v>
      </c>
      <c r="G376" s="1">
        <v>57358</v>
      </c>
      <c r="H376" s="1" cm="1">
        <f t="array" ref="H376">IF(TRIM(G376)="",
   MEDIAN(IFERROR(--SUBSTITUTE(SUBSTITUTE(SUBSTITUTE(SUBSTITUTE(SUBSTITUTE(SUBSTITUTE(G$2:G$747,"Rs.",""),"INR",""),"₹",""),"â‚¹",""),"$","")," ",""),"")),
   IFERROR(--SUBSTITUTE(SUBSTITUTE(SUBSTITUTE(SUBSTITUTE(SUBSTITUTE(SUBSTITUTE(TRIM(G376),"Rs.",""),"INR",""),"₹",""),"â‚¹",""),"$","")," ",""),"")
)</f>
        <v>57358</v>
      </c>
      <c r="I376" s="1" t="str">
        <f t="shared" si="16"/>
        <v>Nill</v>
      </c>
      <c r="J376" s="1">
        <f t="shared" si="17"/>
        <v>57358</v>
      </c>
      <c r="K376" s="1" t="s">
        <v>204</v>
      </c>
      <c r="L376" s="1" t="s">
        <v>127</v>
      </c>
      <c r="M376" s="1" t="s">
        <v>1253</v>
      </c>
      <c r="N376"/>
    </row>
    <row r="377" spans="1:14" x14ac:dyDescent="0.25">
      <c r="A377" s="1" t="s">
        <v>1130</v>
      </c>
      <c r="B377" s="1" t="s">
        <v>628</v>
      </c>
      <c r="C377" s="5">
        <v>45410</v>
      </c>
      <c r="D377" s="6">
        <f t="shared" si="15"/>
        <v>45410</v>
      </c>
      <c r="E377" s="1" t="s">
        <v>11</v>
      </c>
      <c r="F377" s="1" t="s">
        <v>85</v>
      </c>
      <c r="G377" s="1">
        <v>2771</v>
      </c>
      <c r="H377" s="1" cm="1">
        <f t="array" ref="H377">IF(TRIM(G377)="",
   MEDIAN(IFERROR(--SUBSTITUTE(SUBSTITUTE(SUBSTITUTE(SUBSTITUTE(SUBSTITUTE(SUBSTITUTE(G$2:G$747,"Rs.",""),"INR",""),"₹",""),"â‚¹",""),"$","")," ",""),"")),
   IFERROR(--SUBSTITUTE(SUBSTITUTE(SUBSTITUTE(SUBSTITUTE(SUBSTITUTE(SUBSTITUTE(TRIM(G377),"Rs.",""),"INR",""),"₹",""),"â‚¹",""),"$","")," ",""),"")
)</f>
        <v>2771</v>
      </c>
      <c r="I377" s="1">
        <f t="shared" si="16"/>
        <v>2771</v>
      </c>
      <c r="J377" s="1" t="str">
        <f t="shared" si="17"/>
        <v>Nill</v>
      </c>
      <c r="K377" s="1" t="s">
        <v>172</v>
      </c>
      <c r="L377" s="1" t="s">
        <v>40</v>
      </c>
      <c r="M377" s="1" t="s">
        <v>1253</v>
      </c>
      <c r="N377"/>
    </row>
    <row r="378" spans="1:14" x14ac:dyDescent="0.25">
      <c r="A378" s="1" t="s">
        <v>807</v>
      </c>
      <c r="B378" s="1" t="s">
        <v>464</v>
      </c>
      <c r="C378" s="5">
        <v>44242</v>
      </c>
      <c r="D378" s="6">
        <f t="shared" si="15"/>
        <v>44242</v>
      </c>
      <c r="E378" s="1" t="s">
        <v>11</v>
      </c>
      <c r="F378" s="1" t="s">
        <v>104</v>
      </c>
      <c r="G378" s="1">
        <v>4374</v>
      </c>
      <c r="H378" s="1" cm="1">
        <f t="array" ref="H378">IF(TRIM(G378)="",
   MEDIAN(IFERROR(--SUBSTITUTE(SUBSTITUTE(SUBSTITUTE(SUBSTITUTE(SUBSTITUTE(SUBSTITUTE(G$2:G$747,"Rs.",""),"INR",""),"₹",""),"â‚¹",""),"$","")," ",""),"")),
   IFERROR(--SUBSTITUTE(SUBSTITUTE(SUBSTITUTE(SUBSTITUTE(SUBSTITUTE(SUBSTITUTE(TRIM(G378),"Rs.",""),"INR",""),"₹",""),"â‚¹",""),"$","")," ",""),"")
)</f>
        <v>4374</v>
      </c>
      <c r="I378" s="1">
        <f t="shared" si="16"/>
        <v>4374</v>
      </c>
      <c r="J378" s="1" t="str">
        <f t="shared" si="17"/>
        <v>Nill</v>
      </c>
      <c r="K378" s="1" t="s">
        <v>25</v>
      </c>
      <c r="L378" s="1" t="s">
        <v>17</v>
      </c>
      <c r="M378" s="1" t="s">
        <v>1253</v>
      </c>
      <c r="N378"/>
    </row>
    <row r="379" spans="1:14" x14ac:dyDescent="0.25">
      <c r="A379" s="1" t="s">
        <v>733</v>
      </c>
      <c r="B379" s="1" t="s">
        <v>67</v>
      </c>
      <c r="C379" s="1" t="s">
        <v>400</v>
      </c>
      <c r="D379" s="6">
        <f t="shared" si="15"/>
        <v>45077</v>
      </c>
      <c r="E379" s="1" t="s">
        <v>11</v>
      </c>
      <c r="F379" s="1" t="s">
        <v>85</v>
      </c>
      <c r="G379" s="1" t="s">
        <v>734</v>
      </c>
      <c r="H379" s="1" cm="1">
        <f t="array" ref="H379">IF(TRIM(G379)="",
   MEDIAN(IFERROR(--SUBSTITUTE(SUBSTITUTE(SUBSTITUTE(SUBSTITUTE(SUBSTITUTE(SUBSTITUTE(G$2:G$747,"Rs.",""),"INR",""),"₹",""),"â‚¹",""),"$","")," ",""),"")),
   IFERROR(--SUBSTITUTE(SUBSTITUTE(SUBSTITUTE(SUBSTITUTE(SUBSTITUTE(SUBSTITUTE(TRIM(G379),"Rs.",""),"INR",""),"₹",""),"â‚¹",""),"$","")," ",""),"")
)</f>
        <v>7070</v>
      </c>
      <c r="I379" s="1">
        <f t="shared" si="16"/>
        <v>7070</v>
      </c>
      <c r="J379" s="1" t="str">
        <f t="shared" si="17"/>
        <v>Nill</v>
      </c>
      <c r="K379" s="1" t="s">
        <v>48</v>
      </c>
      <c r="L379" s="1" t="s">
        <v>17</v>
      </c>
      <c r="M379" s="1" t="s">
        <v>1253</v>
      </c>
      <c r="N379"/>
    </row>
    <row r="380" spans="1:14" x14ac:dyDescent="0.25">
      <c r="A380" s="1" t="s">
        <v>556</v>
      </c>
      <c r="B380" s="1" t="s">
        <v>522</v>
      </c>
      <c r="C380" s="5">
        <v>44764</v>
      </c>
      <c r="D380" s="6">
        <f t="shared" si="15"/>
        <v>44764</v>
      </c>
      <c r="E380" s="1" t="s">
        <v>11</v>
      </c>
      <c r="F380" s="1" t="s">
        <v>30</v>
      </c>
      <c r="G380" s="1" t="s">
        <v>557</v>
      </c>
      <c r="H380" s="1" cm="1">
        <f t="array" ref="H380">IF(TRIM(G380)="",
   MEDIAN(IFERROR(--SUBSTITUTE(SUBSTITUTE(SUBSTITUTE(SUBSTITUTE(SUBSTITUTE(SUBSTITUTE(G$2:G$747,"Rs.",""),"INR",""),"₹",""),"â‚¹",""),"$","")," ",""),"")),
   IFERROR(--SUBSTITUTE(SUBSTITUTE(SUBSTITUTE(SUBSTITUTE(SUBSTITUTE(SUBSTITUTE(TRIM(G380),"Rs.",""),"INR",""),"₹",""),"â‚¹",""),"$","")," ",""),"")
)</f>
        <v>2923</v>
      </c>
      <c r="I380" s="1">
        <f t="shared" si="16"/>
        <v>2923</v>
      </c>
      <c r="J380" s="1" t="str">
        <f t="shared" si="17"/>
        <v>Nill</v>
      </c>
      <c r="K380" s="1" t="s">
        <v>25</v>
      </c>
      <c r="L380" s="1" t="s">
        <v>127</v>
      </c>
      <c r="M380" s="1" t="s">
        <v>88</v>
      </c>
      <c r="N380"/>
    </row>
    <row r="381" spans="1:14" x14ac:dyDescent="0.25">
      <c r="A381" s="1" t="s">
        <v>699</v>
      </c>
      <c r="B381" s="1" t="s">
        <v>700</v>
      </c>
      <c r="C381" s="5">
        <v>44775</v>
      </c>
      <c r="D381" s="6">
        <f t="shared" si="15"/>
        <v>44775</v>
      </c>
      <c r="E381" s="1" t="s">
        <v>11</v>
      </c>
      <c r="F381" s="1" t="s">
        <v>249</v>
      </c>
      <c r="G381" s="1">
        <v>6260</v>
      </c>
      <c r="H381" s="1" cm="1">
        <f t="array" ref="H381">IF(TRIM(G381)="",
   MEDIAN(IFERROR(--SUBSTITUTE(SUBSTITUTE(SUBSTITUTE(SUBSTITUTE(SUBSTITUTE(SUBSTITUTE(G$2:G$747,"Rs.",""),"INR",""),"₹",""),"â‚¹",""),"$","")," ",""),"")),
   IFERROR(--SUBSTITUTE(SUBSTITUTE(SUBSTITUTE(SUBSTITUTE(SUBSTITUTE(SUBSTITUTE(TRIM(G381),"Rs.",""),"INR",""),"₹",""),"â‚¹",""),"$","")," ",""),"")
)</f>
        <v>6260</v>
      </c>
      <c r="I381" s="1">
        <f t="shared" si="16"/>
        <v>6260</v>
      </c>
      <c r="J381" s="1" t="str">
        <f t="shared" si="17"/>
        <v>Nill</v>
      </c>
      <c r="K381" s="1" t="s">
        <v>31</v>
      </c>
      <c r="L381" s="1" t="s">
        <v>198</v>
      </c>
      <c r="M381" s="1" t="s">
        <v>26</v>
      </c>
      <c r="N381"/>
    </row>
    <row r="382" spans="1:14" x14ac:dyDescent="0.25">
      <c r="A382" s="1" t="s">
        <v>134</v>
      </c>
      <c r="B382" s="1" t="s">
        <v>135</v>
      </c>
      <c r="C382" s="5">
        <v>44461</v>
      </c>
      <c r="D382" s="6">
        <f t="shared" si="15"/>
        <v>44461</v>
      </c>
      <c r="E382" s="1" t="s">
        <v>11</v>
      </c>
      <c r="F382" s="1" t="s">
        <v>171</v>
      </c>
      <c r="G382" s="1" t="s">
        <v>136</v>
      </c>
      <c r="H382" s="1" cm="1">
        <f t="array" ref="H382">IF(TRIM(G382)="",
   MEDIAN(IFERROR(--SUBSTITUTE(SUBSTITUTE(SUBSTITUTE(SUBSTITUTE(SUBSTITUTE(SUBSTITUTE(G$2:G$747,"Rs.",""),"INR",""),"₹",""),"â‚¹",""),"$","")," ",""),"")),
   IFERROR(--SUBSTITUTE(SUBSTITUTE(SUBSTITUTE(SUBSTITUTE(SUBSTITUTE(SUBSTITUTE(TRIM(G382),"Rs.",""),"INR",""),"₹",""),"â‚¹",""),"$","")," ",""),"")
)</f>
        <v>7619</v>
      </c>
      <c r="I382" s="1">
        <f t="shared" si="16"/>
        <v>7619</v>
      </c>
      <c r="J382" s="1" t="str">
        <f t="shared" si="17"/>
        <v>Nill</v>
      </c>
      <c r="K382" s="1" t="s">
        <v>138</v>
      </c>
      <c r="L382" s="1" t="s">
        <v>167</v>
      </c>
      <c r="M382" s="1" t="s">
        <v>14</v>
      </c>
      <c r="N382"/>
    </row>
    <row r="383" spans="1:14" x14ac:dyDescent="0.25">
      <c r="A383" s="1" t="s">
        <v>472</v>
      </c>
      <c r="B383" s="1" t="s">
        <v>319</v>
      </c>
      <c r="C383" s="5">
        <v>44387</v>
      </c>
      <c r="D383" s="6">
        <f t="shared" si="15"/>
        <v>44387</v>
      </c>
      <c r="E383" s="1" t="s">
        <v>11</v>
      </c>
      <c r="F383" s="1" t="s">
        <v>1253</v>
      </c>
      <c r="G383" s="1">
        <v>6766</v>
      </c>
      <c r="H383" s="1" cm="1">
        <f t="array" ref="H383">IF(TRIM(G383)="",
   MEDIAN(IFERROR(--SUBSTITUTE(SUBSTITUTE(SUBSTITUTE(SUBSTITUTE(SUBSTITUTE(SUBSTITUTE(G$2:G$747,"Rs.",""),"INR",""),"₹",""),"â‚¹",""),"$","")," ",""),"")),
   IFERROR(--SUBSTITUTE(SUBSTITUTE(SUBSTITUTE(SUBSTITUTE(SUBSTITUTE(SUBSTITUTE(TRIM(G383),"Rs.",""),"INR",""),"₹",""),"â‚¹",""),"$","")," ",""),"")
)</f>
        <v>6766</v>
      </c>
      <c r="I383" s="1">
        <f t="shared" si="16"/>
        <v>6766</v>
      </c>
      <c r="J383" s="1" t="str">
        <f t="shared" si="17"/>
        <v>Nill</v>
      </c>
      <c r="K383" s="1" t="s">
        <v>31</v>
      </c>
      <c r="L383" s="1" t="s">
        <v>81</v>
      </c>
      <c r="M383" s="1" t="s">
        <v>54</v>
      </c>
      <c r="N383"/>
    </row>
    <row r="384" spans="1:14" x14ac:dyDescent="0.25">
      <c r="A384" s="1" t="s">
        <v>1182</v>
      </c>
      <c r="B384" s="1" t="s">
        <v>219</v>
      </c>
      <c r="C384" s="5">
        <v>45274</v>
      </c>
      <c r="D384" s="6">
        <f t="shared" si="15"/>
        <v>45274</v>
      </c>
      <c r="E384" s="1" t="s">
        <v>11</v>
      </c>
      <c r="F384" s="1" t="s">
        <v>249</v>
      </c>
      <c r="G384" s="1">
        <v>3123</v>
      </c>
      <c r="H384" s="1" cm="1">
        <f t="array" ref="H384">IF(TRIM(G384)="",
   MEDIAN(IFERROR(--SUBSTITUTE(SUBSTITUTE(SUBSTITUTE(SUBSTITUTE(SUBSTITUTE(SUBSTITUTE(G$2:G$747,"Rs.",""),"INR",""),"₹",""),"â‚¹",""),"$","")," ",""),"")),
   IFERROR(--SUBSTITUTE(SUBSTITUTE(SUBSTITUTE(SUBSTITUTE(SUBSTITUTE(SUBSTITUTE(TRIM(G384),"Rs.",""),"INR",""),"₹",""),"â‚¹",""),"$","")," ",""),"")
)</f>
        <v>3123</v>
      </c>
      <c r="I384" s="1">
        <f t="shared" si="16"/>
        <v>3123</v>
      </c>
      <c r="J384" s="1" t="str">
        <f t="shared" si="17"/>
        <v>Nill</v>
      </c>
      <c r="K384" s="1" t="s">
        <v>25</v>
      </c>
      <c r="L384" s="1" t="s">
        <v>299</v>
      </c>
      <c r="M384" s="1" t="s">
        <v>241</v>
      </c>
      <c r="N384"/>
    </row>
    <row r="385" spans="1:14" x14ac:dyDescent="0.25">
      <c r="A385" s="1" t="s">
        <v>888</v>
      </c>
      <c r="B385" s="1" t="s">
        <v>84</v>
      </c>
      <c r="C385" s="5">
        <v>45166</v>
      </c>
      <c r="D385" s="6">
        <f t="shared" si="15"/>
        <v>45166</v>
      </c>
      <c r="E385" s="1" t="s">
        <v>20</v>
      </c>
      <c r="F385" s="1" t="s">
        <v>44</v>
      </c>
      <c r="H385" s="1" cm="1">
        <f t="array" ref="H385">IF(TRIM(G385)="",
   MEDIAN(IFERROR(--SUBSTITUTE(SUBSTITUTE(SUBSTITUTE(SUBSTITUTE(SUBSTITUTE(SUBSTITUTE(G$2:G$747,"Rs.",""),"INR",""),"₹",""),"â‚¹",""),"$","")," ",""),"")),
   IFERROR(--SUBSTITUTE(SUBSTITUTE(SUBSTITUTE(SUBSTITUTE(SUBSTITUTE(SUBSTITUTE(TRIM(G385),"Rs.",""),"INR",""),"₹",""),"â‚¹",""),"$","")," ",""),"")
)</f>
        <v>5935</v>
      </c>
      <c r="I385" s="1" t="str">
        <f t="shared" si="16"/>
        <v>Nill</v>
      </c>
      <c r="J385" s="1">
        <f t="shared" si="17"/>
        <v>5935</v>
      </c>
      <c r="K385" s="1" t="s">
        <v>12</v>
      </c>
      <c r="L385" s="1" t="s">
        <v>97</v>
      </c>
      <c r="M385" s="1" t="s">
        <v>117</v>
      </c>
      <c r="N385"/>
    </row>
    <row r="386" spans="1:14" x14ac:dyDescent="0.25">
      <c r="A386" s="1" t="s">
        <v>1162</v>
      </c>
      <c r="B386" s="1" t="s">
        <v>573</v>
      </c>
      <c r="C386" s="5">
        <v>44884</v>
      </c>
      <c r="D386" s="6">
        <f t="shared" ref="D386:D449" si="18">IF(ISBLANK(C386),("unknown"),IF(ISNUMBER(C386),C386,DATE(RIGHT(C386,4),LEFT(C386,2),MID(C386,4,2))))</f>
        <v>44884</v>
      </c>
      <c r="E386" s="1" t="s">
        <v>20</v>
      </c>
      <c r="F386" s="1" t="s">
        <v>44</v>
      </c>
      <c r="G386" s="1">
        <v>65464</v>
      </c>
      <c r="H386" s="1" cm="1">
        <f t="array" ref="H386">IF(TRIM(G386)="",
   MEDIAN(IFERROR(--SUBSTITUTE(SUBSTITUTE(SUBSTITUTE(SUBSTITUTE(SUBSTITUTE(SUBSTITUTE(G$2:G$747,"Rs.",""),"INR",""),"₹",""),"â‚¹",""),"$","")," ",""),"")),
   IFERROR(--SUBSTITUTE(SUBSTITUTE(SUBSTITUTE(SUBSTITUTE(SUBSTITUTE(SUBSTITUTE(TRIM(G386),"Rs.",""),"INR",""),"₹",""),"â‚¹",""),"$","")," ",""),"")
)</f>
        <v>65464</v>
      </c>
      <c r="I386" s="1" t="str">
        <f t="shared" ref="I386:I449" si="19">IF(E386="Expense",H386,"Nill")</f>
        <v>Nill</v>
      </c>
      <c r="J386" s="1">
        <f t="shared" ref="J386:J449" si="20">IF(E386="Income",H386,"Nill")</f>
        <v>65464</v>
      </c>
      <c r="K386" s="1" t="s">
        <v>87</v>
      </c>
      <c r="L386" s="1" t="s">
        <v>217</v>
      </c>
      <c r="M386" s="1" t="s">
        <v>41</v>
      </c>
      <c r="N386"/>
    </row>
    <row r="387" spans="1:14" x14ac:dyDescent="0.25">
      <c r="A387" s="1" t="s">
        <v>774</v>
      </c>
      <c r="B387" s="1" t="s">
        <v>108</v>
      </c>
      <c r="C387" s="1" t="s">
        <v>775</v>
      </c>
      <c r="D387" s="6">
        <f t="shared" si="18"/>
        <v>44831</v>
      </c>
      <c r="E387" s="1" t="s">
        <v>11</v>
      </c>
      <c r="F387" s="1" t="s">
        <v>69</v>
      </c>
      <c r="G387" s="1">
        <v>994</v>
      </c>
      <c r="H387" s="1" cm="1">
        <f t="array" ref="H387">IF(TRIM(G387)="",
   MEDIAN(IFERROR(--SUBSTITUTE(SUBSTITUTE(SUBSTITUTE(SUBSTITUTE(SUBSTITUTE(SUBSTITUTE(G$2:G$747,"Rs.",""),"INR",""),"₹",""),"â‚¹",""),"$","")," ",""),"")),
   IFERROR(--SUBSTITUTE(SUBSTITUTE(SUBSTITUTE(SUBSTITUTE(SUBSTITUTE(SUBSTITUTE(TRIM(G387),"Rs.",""),"INR",""),"₹",""),"â‚¹",""),"$","")," ",""),"")
)</f>
        <v>994</v>
      </c>
      <c r="I387" s="1">
        <f t="shared" si="19"/>
        <v>994</v>
      </c>
      <c r="J387" s="1" t="str">
        <f t="shared" si="20"/>
        <v>Nill</v>
      </c>
      <c r="K387" s="1" t="s">
        <v>1253</v>
      </c>
      <c r="L387" s="1" t="s">
        <v>217</v>
      </c>
      <c r="M387" s="1" t="s">
        <v>35</v>
      </c>
      <c r="N387"/>
    </row>
    <row r="388" spans="1:14" x14ac:dyDescent="0.25">
      <c r="A388" s="1" t="s">
        <v>463</v>
      </c>
      <c r="B388" s="1" t="s">
        <v>464</v>
      </c>
      <c r="C388" s="5">
        <v>45543</v>
      </c>
      <c r="D388" s="6">
        <f t="shared" si="18"/>
        <v>45543</v>
      </c>
      <c r="E388" s="1" t="s">
        <v>11</v>
      </c>
      <c r="F388" s="1" t="s">
        <v>465</v>
      </c>
      <c r="G388" s="1">
        <v>6869</v>
      </c>
      <c r="H388" s="1" cm="1">
        <f t="array" ref="H388">IF(TRIM(G388)="",
   MEDIAN(IFERROR(--SUBSTITUTE(SUBSTITUTE(SUBSTITUTE(SUBSTITUTE(SUBSTITUTE(SUBSTITUTE(G$2:G$747,"Rs.",""),"INR",""),"₹",""),"â‚¹",""),"$","")," ",""),"")),
   IFERROR(--SUBSTITUTE(SUBSTITUTE(SUBSTITUTE(SUBSTITUTE(SUBSTITUTE(SUBSTITUTE(TRIM(G388),"Rs.",""),"INR",""),"₹",""),"â‚¹",""),"$","")," ",""),"")
)</f>
        <v>6869</v>
      </c>
      <c r="I388" s="1">
        <f t="shared" si="19"/>
        <v>6869</v>
      </c>
      <c r="J388" s="1" t="str">
        <f t="shared" si="20"/>
        <v>Nill</v>
      </c>
      <c r="K388" s="1" t="s">
        <v>12</v>
      </c>
      <c r="L388" s="1" t="s">
        <v>97</v>
      </c>
      <c r="M388" s="1" t="s">
        <v>1253</v>
      </c>
      <c r="N388"/>
    </row>
    <row r="389" spans="1:14" x14ac:dyDescent="0.25">
      <c r="A389" s="1" t="s">
        <v>215</v>
      </c>
      <c r="B389" s="1" t="s">
        <v>216</v>
      </c>
      <c r="C389" s="5">
        <v>44905</v>
      </c>
      <c r="D389" s="6">
        <f t="shared" si="18"/>
        <v>44905</v>
      </c>
      <c r="E389" s="1" t="s">
        <v>20</v>
      </c>
      <c r="F389" s="1" t="s">
        <v>21</v>
      </c>
      <c r="G389" s="1">
        <v>70075</v>
      </c>
      <c r="H389" s="1" cm="1">
        <f t="array" ref="H389">IF(TRIM(G389)="",
   MEDIAN(IFERROR(--SUBSTITUTE(SUBSTITUTE(SUBSTITUTE(SUBSTITUTE(SUBSTITUTE(SUBSTITUTE(G$2:G$747,"Rs.",""),"INR",""),"₹",""),"â‚¹",""),"$","")," ",""),"")),
   IFERROR(--SUBSTITUTE(SUBSTITUTE(SUBSTITUTE(SUBSTITUTE(SUBSTITUTE(SUBSTITUTE(TRIM(G389),"Rs.",""),"INR",""),"₹",""),"â‚¹",""),"$","")," ",""),"")
)</f>
        <v>70075</v>
      </c>
      <c r="I389" s="1" t="str">
        <f t="shared" si="19"/>
        <v>Nill</v>
      </c>
      <c r="J389" s="1">
        <f t="shared" si="20"/>
        <v>70075</v>
      </c>
      <c r="K389" s="1" t="s">
        <v>172</v>
      </c>
      <c r="L389" s="1" t="s">
        <v>217</v>
      </c>
      <c r="M389" s="1" t="s">
        <v>54</v>
      </c>
      <c r="N389"/>
    </row>
    <row r="390" spans="1:14" x14ac:dyDescent="0.25">
      <c r="A390" s="1" t="s">
        <v>223</v>
      </c>
      <c r="B390" s="1" t="s">
        <v>43</v>
      </c>
      <c r="C390" s="5">
        <v>45569</v>
      </c>
      <c r="D390" s="6">
        <f t="shared" si="18"/>
        <v>45569</v>
      </c>
      <c r="E390" s="1" t="s">
        <v>11</v>
      </c>
      <c r="F390" s="1" t="s">
        <v>158</v>
      </c>
      <c r="G390" s="1">
        <v>1206</v>
      </c>
      <c r="H390" s="1" cm="1">
        <f t="array" ref="H390">IF(TRIM(G390)="",
   MEDIAN(IFERROR(--SUBSTITUTE(SUBSTITUTE(SUBSTITUTE(SUBSTITUTE(SUBSTITUTE(SUBSTITUTE(G$2:G$747,"Rs.",""),"INR",""),"₹",""),"â‚¹",""),"$","")," ",""),"")),
   IFERROR(--SUBSTITUTE(SUBSTITUTE(SUBSTITUTE(SUBSTITUTE(SUBSTITUTE(SUBSTITUTE(TRIM(G390),"Rs.",""),"INR",""),"₹",""),"â‚¹",""),"$","")," ",""),"")
)</f>
        <v>1206</v>
      </c>
      <c r="I390" s="1">
        <f t="shared" si="19"/>
        <v>1206</v>
      </c>
      <c r="J390" s="1" t="str">
        <f t="shared" si="20"/>
        <v>Nill</v>
      </c>
      <c r="K390" s="1" t="s">
        <v>204</v>
      </c>
      <c r="L390" s="1" t="s">
        <v>13</v>
      </c>
      <c r="M390" s="1" t="s">
        <v>117</v>
      </c>
      <c r="N390"/>
    </row>
    <row r="391" spans="1:14" x14ac:dyDescent="0.25">
      <c r="A391" s="1" t="s">
        <v>767</v>
      </c>
      <c r="B391" s="1" t="s">
        <v>130</v>
      </c>
      <c r="C391" s="5">
        <v>44576</v>
      </c>
      <c r="D391" s="6">
        <f t="shared" si="18"/>
        <v>44576</v>
      </c>
      <c r="E391" s="1" t="s">
        <v>11</v>
      </c>
      <c r="F391" s="1" t="s">
        <v>30</v>
      </c>
      <c r="G391" s="1">
        <v>9635</v>
      </c>
      <c r="H391" s="1" cm="1">
        <f t="array" ref="H391">IF(TRIM(G391)="",
   MEDIAN(IFERROR(--SUBSTITUTE(SUBSTITUTE(SUBSTITUTE(SUBSTITUTE(SUBSTITUTE(SUBSTITUTE(G$2:G$747,"Rs.",""),"INR",""),"₹",""),"â‚¹",""),"$","")," ",""),"")),
   IFERROR(--SUBSTITUTE(SUBSTITUTE(SUBSTITUTE(SUBSTITUTE(SUBSTITUTE(SUBSTITUTE(TRIM(G391),"Rs.",""),"INR",""),"₹",""),"â‚¹",""),"$","")," ",""),"")
)</f>
        <v>9635</v>
      </c>
      <c r="I391" s="1">
        <f t="shared" si="19"/>
        <v>9635</v>
      </c>
      <c r="J391" s="1" t="str">
        <f t="shared" si="20"/>
        <v>Nill</v>
      </c>
      <c r="K391" s="1" t="s">
        <v>138</v>
      </c>
      <c r="L391" s="1" t="s">
        <v>40</v>
      </c>
      <c r="M391" s="1" t="s">
        <v>54</v>
      </c>
      <c r="N391"/>
    </row>
    <row r="392" spans="1:14" x14ac:dyDescent="0.25">
      <c r="A392" s="1" t="s">
        <v>991</v>
      </c>
      <c r="B392" s="1" t="s">
        <v>130</v>
      </c>
      <c r="C392" s="5">
        <v>45314</v>
      </c>
      <c r="D392" s="6">
        <f t="shared" si="18"/>
        <v>45314</v>
      </c>
      <c r="E392" s="1" t="s">
        <v>11</v>
      </c>
      <c r="F392" s="1" t="s">
        <v>30</v>
      </c>
      <c r="G392" s="1" t="s">
        <v>992</v>
      </c>
      <c r="H392" s="1" cm="1">
        <f t="array" ref="H392">IF(TRIM(G392)="",
   MEDIAN(IFERROR(--SUBSTITUTE(SUBSTITUTE(SUBSTITUTE(SUBSTITUTE(SUBSTITUTE(SUBSTITUTE(G$2:G$747,"Rs.",""),"INR",""),"₹",""),"â‚¹",""),"$","")," ",""),"")),
   IFERROR(--SUBSTITUTE(SUBSTITUTE(SUBSTITUTE(SUBSTITUTE(SUBSTITUTE(SUBSTITUTE(TRIM(G392),"Rs.",""),"INR",""),"₹",""),"â‚¹",""),"$","")," ",""),"")
)</f>
        <v>7393</v>
      </c>
      <c r="I392" s="1">
        <f t="shared" si="19"/>
        <v>7393</v>
      </c>
      <c r="J392" s="1" t="str">
        <f t="shared" si="20"/>
        <v>Nill</v>
      </c>
      <c r="K392" s="1" t="s">
        <v>204</v>
      </c>
      <c r="L392" s="1" t="s">
        <v>81</v>
      </c>
      <c r="M392" s="1" t="s">
        <v>128</v>
      </c>
      <c r="N392"/>
    </row>
    <row r="393" spans="1:14" x14ac:dyDescent="0.25">
      <c r="A393" s="1" t="s">
        <v>448</v>
      </c>
      <c r="B393" s="1" t="s">
        <v>248</v>
      </c>
      <c r="C393" s="5">
        <v>44385</v>
      </c>
      <c r="D393" s="6">
        <f t="shared" si="18"/>
        <v>44385</v>
      </c>
      <c r="E393" s="1" t="s">
        <v>11</v>
      </c>
      <c r="F393" s="1" t="s">
        <v>69</v>
      </c>
      <c r="G393" s="1">
        <v>5811</v>
      </c>
      <c r="H393" s="1" cm="1">
        <f t="array" ref="H393">IF(TRIM(G393)="",
   MEDIAN(IFERROR(--SUBSTITUTE(SUBSTITUTE(SUBSTITUTE(SUBSTITUTE(SUBSTITUTE(SUBSTITUTE(G$2:G$747,"Rs.",""),"INR",""),"₹",""),"â‚¹",""),"$","")," ",""),"")),
   IFERROR(--SUBSTITUTE(SUBSTITUTE(SUBSTITUTE(SUBSTITUTE(SUBSTITUTE(SUBSTITUTE(TRIM(G393),"Rs.",""),"INR",""),"₹",""),"â‚¹",""),"$","")," ",""),"")
)</f>
        <v>5811</v>
      </c>
      <c r="I393" s="1">
        <f t="shared" si="19"/>
        <v>5811</v>
      </c>
      <c r="J393" s="1" t="str">
        <f t="shared" si="20"/>
        <v>Nill</v>
      </c>
      <c r="K393" s="1" t="s">
        <v>25</v>
      </c>
      <c r="L393" s="1" t="s">
        <v>167</v>
      </c>
      <c r="M393" s="1" t="s">
        <v>1253</v>
      </c>
      <c r="N393"/>
    </row>
    <row r="394" spans="1:14" x14ac:dyDescent="0.25">
      <c r="A394" s="1" t="s">
        <v>917</v>
      </c>
      <c r="B394" s="1" t="s">
        <v>310</v>
      </c>
      <c r="D394" s="6" t="str">
        <f t="shared" si="18"/>
        <v>unknown</v>
      </c>
      <c r="E394" s="1" t="s">
        <v>11</v>
      </c>
      <c r="F394" s="1" t="s">
        <v>465</v>
      </c>
      <c r="G394" s="1">
        <v>6113</v>
      </c>
      <c r="H394" s="1" cm="1">
        <f t="array" ref="H394">IF(TRIM(G394)="",
   MEDIAN(IFERROR(--SUBSTITUTE(SUBSTITUTE(SUBSTITUTE(SUBSTITUTE(SUBSTITUTE(SUBSTITUTE(G$2:G$747,"Rs.",""),"INR",""),"₹",""),"â‚¹",""),"$","")," ",""),"")),
   IFERROR(--SUBSTITUTE(SUBSTITUTE(SUBSTITUTE(SUBSTITUTE(SUBSTITUTE(SUBSTITUTE(TRIM(G394),"Rs.",""),"INR",""),"₹",""),"â‚¹",""),"$","")," ",""),"")
)</f>
        <v>6113</v>
      </c>
      <c r="I394" s="1">
        <f t="shared" si="19"/>
        <v>6113</v>
      </c>
      <c r="J394" s="1" t="str">
        <f t="shared" si="20"/>
        <v>Nill</v>
      </c>
      <c r="K394" s="1" t="s">
        <v>31</v>
      </c>
      <c r="L394" s="1" t="s">
        <v>127</v>
      </c>
      <c r="M394" s="1" t="s">
        <v>117</v>
      </c>
      <c r="N394"/>
    </row>
    <row r="395" spans="1:14" x14ac:dyDescent="0.25">
      <c r="A395" s="1" t="s">
        <v>859</v>
      </c>
      <c r="B395" s="1" t="s">
        <v>700</v>
      </c>
      <c r="C395" s="1" t="s">
        <v>860</v>
      </c>
      <c r="D395" s="6">
        <f t="shared" si="18"/>
        <v>45350</v>
      </c>
      <c r="E395" s="1" t="s">
        <v>11</v>
      </c>
      <c r="F395" s="1" t="s">
        <v>171</v>
      </c>
      <c r="G395" s="1">
        <v>37865</v>
      </c>
      <c r="H395" s="1" cm="1">
        <f t="array" ref="H395">IF(TRIM(G395)="",
   MEDIAN(IFERROR(--SUBSTITUTE(SUBSTITUTE(SUBSTITUTE(SUBSTITUTE(SUBSTITUTE(SUBSTITUTE(G$2:G$747,"Rs.",""),"INR",""),"₹",""),"â‚¹",""),"$","")," ",""),"")),
   IFERROR(--SUBSTITUTE(SUBSTITUTE(SUBSTITUTE(SUBSTITUTE(SUBSTITUTE(SUBSTITUTE(TRIM(G395),"Rs.",""),"INR",""),"₹",""),"â‚¹",""),"$","")," ",""),"")
)</f>
        <v>37865</v>
      </c>
      <c r="I395" s="1">
        <f t="shared" si="19"/>
        <v>37865</v>
      </c>
      <c r="J395" s="1" t="str">
        <f t="shared" si="20"/>
        <v>Nill</v>
      </c>
      <c r="K395" s="1" t="s">
        <v>53</v>
      </c>
      <c r="L395" s="1" t="s">
        <v>81</v>
      </c>
      <c r="M395" s="1" t="s">
        <v>35</v>
      </c>
      <c r="N395"/>
    </row>
    <row r="396" spans="1:14" x14ac:dyDescent="0.25">
      <c r="A396" s="1" t="s">
        <v>976</v>
      </c>
      <c r="B396" s="1" t="s">
        <v>506</v>
      </c>
      <c r="C396" s="5">
        <v>45192</v>
      </c>
      <c r="D396" s="6">
        <f t="shared" si="18"/>
        <v>45192</v>
      </c>
      <c r="E396" s="1" t="s">
        <v>11</v>
      </c>
      <c r="F396" s="1" t="s">
        <v>85</v>
      </c>
      <c r="G396" s="1">
        <v>1372</v>
      </c>
      <c r="H396" s="1" cm="1">
        <f t="array" ref="H396">IF(TRIM(G396)="",
   MEDIAN(IFERROR(--SUBSTITUTE(SUBSTITUTE(SUBSTITUTE(SUBSTITUTE(SUBSTITUTE(SUBSTITUTE(G$2:G$747,"Rs.",""),"INR",""),"₹",""),"â‚¹",""),"$","")," ",""),"")),
   IFERROR(--SUBSTITUTE(SUBSTITUTE(SUBSTITUTE(SUBSTITUTE(SUBSTITUTE(SUBSTITUTE(TRIM(G396),"Rs.",""),"INR",""),"₹",""),"â‚¹",""),"$","")," ",""),"")
)</f>
        <v>1372</v>
      </c>
      <c r="I396" s="1">
        <f t="shared" si="19"/>
        <v>1372</v>
      </c>
      <c r="J396" s="1" t="str">
        <f t="shared" si="20"/>
        <v>Nill</v>
      </c>
      <c r="K396" s="1" t="s">
        <v>31</v>
      </c>
      <c r="L396" s="1" t="s">
        <v>198</v>
      </c>
      <c r="M396" s="1" t="s">
        <v>133</v>
      </c>
      <c r="N396"/>
    </row>
    <row r="397" spans="1:14" x14ac:dyDescent="0.25">
      <c r="A397" s="1" t="s">
        <v>280</v>
      </c>
      <c r="B397" s="1" t="s">
        <v>281</v>
      </c>
      <c r="C397" s="5">
        <v>45312</v>
      </c>
      <c r="D397" s="6">
        <f t="shared" si="18"/>
        <v>45312</v>
      </c>
      <c r="E397" s="1" t="s">
        <v>20</v>
      </c>
      <c r="F397" s="1" t="s">
        <v>239</v>
      </c>
      <c r="G397" s="1">
        <v>34145</v>
      </c>
      <c r="H397" s="1" cm="1">
        <f t="array" ref="H397">IF(TRIM(G397)="",
   MEDIAN(IFERROR(--SUBSTITUTE(SUBSTITUTE(SUBSTITUTE(SUBSTITUTE(SUBSTITUTE(SUBSTITUTE(G$2:G$747,"Rs.",""),"INR",""),"₹",""),"â‚¹",""),"$","")," ",""),"")),
   IFERROR(--SUBSTITUTE(SUBSTITUTE(SUBSTITUTE(SUBSTITUTE(SUBSTITUTE(SUBSTITUTE(TRIM(G397),"Rs.",""),"INR",""),"₹",""),"â‚¹",""),"$","")," ",""),"")
)</f>
        <v>34145</v>
      </c>
      <c r="I397" s="1" t="str">
        <f t="shared" si="19"/>
        <v>Nill</v>
      </c>
      <c r="J397" s="1">
        <f t="shared" si="20"/>
        <v>34145</v>
      </c>
      <c r="K397" s="1" t="s">
        <v>25</v>
      </c>
      <c r="L397" s="1" t="s">
        <v>17</v>
      </c>
      <c r="M397" s="1" t="s">
        <v>1253</v>
      </c>
      <c r="N397"/>
    </row>
    <row r="398" spans="1:14" x14ac:dyDescent="0.25">
      <c r="A398" s="1" t="s">
        <v>120</v>
      </c>
      <c r="B398" s="1" t="s">
        <v>121</v>
      </c>
      <c r="C398" s="5">
        <v>44321</v>
      </c>
      <c r="D398" s="6">
        <f t="shared" si="18"/>
        <v>44321</v>
      </c>
      <c r="E398" s="1" t="s">
        <v>11</v>
      </c>
      <c r="F398" s="1" t="s">
        <v>85</v>
      </c>
      <c r="G398" s="1">
        <v>2407</v>
      </c>
      <c r="H398" s="1" cm="1">
        <f t="array" ref="H398">IF(TRIM(G398)="",
   MEDIAN(IFERROR(--SUBSTITUTE(SUBSTITUTE(SUBSTITUTE(SUBSTITUTE(SUBSTITUTE(SUBSTITUTE(G$2:G$747,"Rs.",""),"INR",""),"₹",""),"â‚¹",""),"$","")," ",""),"")),
   IFERROR(--SUBSTITUTE(SUBSTITUTE(SUBSTITUTE(SUBSTITUTE(SUBSTITUTE(SUBSTITUTE(TRIM(G398),"Rs.",""),"INR",""),"₹",""),"â‚¹",""),"$","")," ",""),"")
)</f>
        <v>2407</v>
      </c>
      <c r="I398" s="1">
        <f t="shared" si="19"/>
        <v>2407</v>
      </c>
      <c r="J398" s="1" t="str">
        <f t="shared" si="20"/>
        <v>Nill</v>
      </c>
      <c r="K398" s="1" t="s">
        <v>12</v>
      </c>
      <c r="L398" s="1" t="s">
        <v>299</v>
      </c>
      <c r="M398" s="1" t="s">
        <v>122</v>
      </c>
      <c r="N398"/>
    </row>
    <row r="399" spans="1:14" x14ac:dyDescent="0.25">
      <c r="A399" s="1" t="s">
        <v>287</v>
      </c>
      <c r="B399" s="1" t="s">
        <v>288</v>
      </c>
      <c r="C399" s="5">
        <v>45570</v>
      </c>
      <c r="D399" s="6">
        <f t="shared" si="18"/>
        <v>45570</v>
      </c>
      <c r="E399" s="1" t="s">
        <v>11</v>
      </c>
      <c r="F399" s="1" t="s">
        <v>30</v>
      </c>
      <c r="G399" s="1">
        <v>3143</v>
      </c>
      <c r="H399" s="1" cm="1">
        <f t="array" ref="H399">IF(TRIM(G399)="",
   MEDIAN(IFERROR(--SUBSTITUTE(SUBSTITUTE(SUBSTITUTE(SUBSTITUTE(SUBSTITUTE(SUBSTITUTE(G$2:G$747,"Rs.",""),"INR",""),"₹",""),"â‚¹",""),"$","")," ",""),"")),
   IFERROR(--SUBSTITUTE(SUBSTITUTE(SUBSTITUTE(SUBSTITUTE(SUBSTITUTE(SUBSTITUTE(TRIM(G399),"Rs.",""),"INR",""),"₹",""),"â‚¹",""),"$","")," ",""),"")
)</f>
        <v>3143</v>
      </c>
      <c r="I399" s="1">
        <f t="shared" si="19"/>
        <v>3143</v>
      </c>
      <c r="J399" s="1" t="str">
        <f t="shared" si="20"/>
        <v>Nill</v>
      </c>
      <c r="K399" s="1" t="s">
        <v>172</v>
      </c>
      <c r="L399" s="1" t="s">
        <v>299</v>
      </c>
      <c r="M399" s="1" t="s">
        <v>22</v>
      </c>
      <c r="N399"/>
    </row>
    <row r="400" spans="1:14" x14ac:dyDescent="0.25">
      <c r="A400" s="1" t="s">
        <v>1063</v>
      </c>
      <c r="B400" s="1" t="s">
        <v>344</v>
      </c>
      <c r="C400" s="5">
        <v>45240</v>
      </c>
      <c r="D400" s="6">
        <f t="shared" si="18"/>
        <v>45240</v>
      </c>
      <c r="E400" s="1" t="s">
        <v>11</v>
      </c>
      <c r="F400" s="1" t="s">
        <v>69</v>
      </c>
      <c r="G400" s="1">
        <v>1731</v>
      </c>
      <c r="H400" s="1" cm="1">
        <f t="array" ref="H400">IF(TRIM(G400)="",
   MEDIAN(IFERROR(--SUBSTITUTE(SUBSTITUTE(SUBSTITUTE(SUBSTITUTE(SUBSTITUTE(SUBSTITUTE(G$2:G$747,"Rs.",""),"INR",""),"₹",""),"â‚¹",""),"$","")," ",""),"")),
   IFERROR(--SUBSTITUTE(SUBSTITUTE(SUBSTITUTE(SUBSTITUTE(SUBSTITUTE(SUBSTITUTE(TRIM(G400),"Rs.",""),"INR",""),"₹",""),"â‚¹",""),"$","")," ",""),"")
)</f>
        <v>1731</v>
      </c>
      <c r="I400" s="1">
        <f t="shared" si="19"/>
        <v>1731</v>
      </c>
      <c r="J400" s="1" t="str">
        <f t="shared" si="20"/>
        <v>Nill</v>
      </c>
      <c r="K400" s="1" t="s">
        <v>25</v>
      </c>
      <c r="L400" s="1" t="s">
        <v>167</v>
      </c>
      <c r="M400" s="1" t="s">
        <v>1253</v>
      </c>
      <c r="N400"/>
    </row>
    <row r="401" spans="1:14" x14ac:dyDescent="0.25">
      <c r="A401" s="1" t="s">
        <v>1170</v>
      </c>
      <c r="B401" s="1" t="s">
        <v>78</v>
      </c>
      <c r="C401" s="1" t="s">
        <v>1171</v>
      </c>
      <c r="D401" s="6">
        <f t="shared" si="18"/>
        <v>45075</v>
      </c>
      <c r="E401" s="1" t="s">
        <v>11</v>
      </c>
      <c r="F401" s="1" t="s">
        <v>249</v>
      </c>
      <c r="G401" s="1">
        <v>8355</v>
      </c>
      <c r="H401" s="1" cm="1">
        <f t="array" ref="H401">IF(TRIM(G401)="",
   MEDIAN(IFERROR(--SUBSTITUTE(SUBSTITUTE(SUBSTITUTE(SUBSTITUTE(SUBSTITUTE(SUBSTITUTE(G$2:G$747,"Rs.",""),"INR",""),"₹",""),"â‚¹",""),"$","")," ",""),"")),
   IFERROR(--SUBSTITUTE(SUBSTITUTE(SUBSTITUTE(SUBSTITUTE(SUBSTITUTE(SUBSTITUTE(TRIM(G401),"Rs.",""),"INR",""),"₹",""),"â‚¹",""),"$","")," ",""),"")
)</f>
        <v>8355</v>
      </c>
      <c r="I401" s="1">
        <f t="shared" si="19"/>
        <v>8355</v>
      </c>
      <c r="J401" s="1" t="str">
        <f t="shared" si="20"/>
        <v>Nill</v>
      </c>
      <c r="K401" s="1" t="s">
        <v>25</v>
      </c>
      <c r="L401" s="1" t="s">
        <v>127</v>
      </c>
      <c r="M401" s="1" t="s">
        <v>1253</v>
      </c>
      <c r="N401"/>
    </row>
    <row r="402" spans="1:14" x14ac:dyDescent="0.25">
      <c r="A402" s="1" t="s">
        <v>1067</v>
      </c>
      <c r="B402" s="1" t="s">
        <v>281</v>
      </c>
      <c r="C402" s="5">
        <v>45129</v>
      </c>
      <c r="D402" s="6">
        <f t="shared" si="18"/>
        <v>45129</v>
      </c>
      <c r="E402" s="1" t="s">
        <v>11</v>
      </c>
      <c r="F402" s="1" t="s">
        <v>69</v>
      </c>
      <c r="G402" s="1">
        <v>1969</v>
      </c>
      <c r="H402" s="1" cm="1">
        <f t="array" ref="H402">IF(TRIM(G402)="",
   MEDIAN(IFERROR(--SUBSTITUTE(SUBSTITUTE(SUBSTITUTE(SUBSTITUTE(SUBSTITUTE(SUBSTITUTE(G$2:G$747,"Rs.",""),"INR",""),"₹",""),"â‚¹",""),"$","")," ",""),"")),
   IFERROR(--SUBSTITUTE(SUBSTITUTE(SUBSTITUTE(SUBSTITUTE(SUBSTITUTE(SUBSTITUTE(TRIM(G402),"Rs.",""),"INR",""),"₹",""),"â‚¹",""),"$","")," ",""),"")
)</f>
        <v>1969</v>
      </c>
      <c r="I402" s="1">
        <f t="shared" si="19"/>
        <v>1969</v>
      </c>
      <c r="J402" s="1" t="str">
        <f t="shared" si="20"/>
        <v>Nill</v>
      </c>
      <c r="K402" s="1" t="s">
        <v>138</v>
      </c>
      <c r="L402" s="1" t="s">
        <v>217</v>
      </c>
      <c r="M402" s="1" t="s">
        <v>54</v>
      </c>
      <c r="N402"/>
    </row>
    <row r="403" spans="1:14" x14ac:dyDescent="0.25">
      <c r="A403" s="1" t="s">
        <v>710</v>
      </c>
      <c r="B403" s="1" t="s">
        <v>265</v>
      </c>
      <c r="C403" s="5">
        <v>45633</v>
      </c>
      <c r="D403" s="6">
        <f t="shared" si="18"/>
        <v>45633</v>
      </c>
      <c r="E403" s="1" t="s">
        <v>11</v>
      </c>
      <c r="F403" s="1" t="s">
        <v>171</v>
      </c>
      <c r="G403" s="1">
        <v>12316</v>
      </c>
      <c r="H403" s="1" cm="1">
        <f t="array" ref="H403">IF(TRIM(G403)="",
   MEDIAN(IFERROR(--SUBSTITUTE(SUBSTITUTE(SUBSTITUTE(SUBSTITUTE(SUBSTITUTE(SUBSTITUTE(G$2:G$747,"Rs.",""),"INR",""),"₹",""),"â‚¹",""),"$","")," ",""),"")),
   IFERROR(--SUBSTITUTE(SUBSTITUTE(SUBSTITUTE(SUBSTITUTE(SUBSTITUTE(SUBSTITUTE(TRIM(G403),"Rs.",""),"INR",""),"₹",""),"â‚¹",""),"$","")," ",""),"")
)</f>
        <v>12316</v>
      </c>
      <c r="I403" s="1">
        <f t="shared" si="19"/>
        <v>12316</v>
      </c>
      <c r="J403" s="1" t="str">
        <f t="shared" si="20"/>
        <v>Nill</v>
      </c>
      <c r="K403" s="1" t="s">
        <v>204</v>
      </c>
      <c r="L403" s="1" t="s">
        <v>97</v>
      </c>
      <c r="M403" s="1" t="s">
        <v>179</v>
      </c>
      <c r="N403"/>
    </row>
    <row r="404" spans="1:14" x14ac:dyDescent="0.25">
      <c r="A404" s="1" t="s">
        <v>1155</v>
      </c>
      <c r="B404" s="1" t="s">
        <v>568</v>
      </c>
      <c r="C404" s="5">
        <v>45117</v>
      </c>
      <c r="D404" s="6">
        <f t="shared" si="18"/>
        <v>45117</v>
      </c>
      <c r="E404" s="1" t="s">
        <v>11</v>
      </c>
      <c r="F404" s="1" t="s">
        <v>249</v>
      </c>
      <c r="G404" s="1">
        <v>4218</v>
      </c>
      <c r="H404" s="1" cm="1">
        <f t="array" ref="H404">IF(TRIM(G404)="",
   MEDIAN(IFERROR(--SUBSTITUTE(SUBSTITUTE(SUBSTITUTE(SUBSTITUTE(SUBSTITUTE(SUBSTITUTE(G$2:G$747,"Rs.",""),"INR",""),"₹",""),"â‚¹",""),"$","")," ",""),"")),
   IFERROR(--SUBSTITUTE(SUBSTITUTE(SUBSTITUTE(SUBSTITUTE(SUBSTITUTE(SUBSTITUTE(TRIM(G404),"Rs.",""),"INR",""),"₹",""),"â‚¹",""),"$","")," ",""),"")
)</f>
        <v>4218</v>
      </c>
      <c r="I404" s="1">
        <f t="shared" si="19"/>
        <v>4218</v>
      </c>
      <c r="J404" s="1" t="str">
        <f t="shared" si="20"/>
        <v>Nill</v>
      </c>
      <c r="K404" s="1" t="s">
        <v>12</v>
      </c>
      <c r="L404" s="1" t="s">
        <v>81</v>
      </c>
      <c r="M404" s="1" t="s">
        <v>1253</v>
      </c>
      <c r="N404"/>
    </row>
    <row r="405" spans="1:14" x14ac:dyDescent="0.25">
      <c r="A405" s="1" t="s">
        <v>1065</v>
      </c>
      <c r="B405" s="1" t="s">
        <v>94</v>
      </c>
      <c r="C405" s="5">
        <v>44247</v>
      </c>
      <c r="D405" s="6">
        <f t="shared" si="18"/>
        <v>44247</v>
      </c>
      <c r="E405" s="1" t="s">
        <v>11</v>
      </c>
      <c r="F405" s="1" t="s">
        <v>465</v>
      </c>
      <c r="G405" s="1">
        <v>4343</v>
      </c>
      <c r="H405" s="1" cm="1">
        <f t="array" ref="H405">IF(TRIM(G405)="",
   MEDIAN(IFERROR(--SUBSTITUTE(SUBSTITUTE(SUBSTITUTE(SUBSTITUTE(SUBSTITUTE(SUBSTITUTE(G$2:G$747,"Rs.",""),"INR",""),"₹",""),"â‚¹",""),"$","")," ",""),"")),
   IFERROR(--SUBSTITUTE(SUBSTITUTE(SUBSTITUTE(SUBSTITUTE(SUBSTITUTE(SUBSTITUTE(TRIM(G405),"Rs.",""),"INR",""),"₹",""),"â‚¹",""),"$","")," ",""),"")
)</f>
        <v>4343</v>
      </c>
      <c r="I405" s="1">
        <f t="shared" si="19"/>
        <v>4343</v>
      </c>
      <c r="J405" s="1" t="str">
        <f t="shared" si="20"/>
        <v>Nill</v>
      </c>
      <c r="K405" s="1" t="s">
        <v>31</v>
      </c>
      <c r="L405" s="1" t="s">
        <v>81</v>
      </c>
      <c r="M405" s="1" t="s">
        <v>133</v>
      </c>
      <c r="N405"/>
    </row>
    <row r="406" spans="1:14" x14ac:dyDescent="0.25">
      <c r="A406" s="1" t="s">
        <v>300</v>
      </c>
      <c r="B406" s="1" t="s">
        <v>164</v>
      </c>
      <c r="C406" s="5">
        <v>45443</v>
      </c>
      <c r="D406" s="6">
        <f t="shared" si="18"/>
        <v>45443</v>
      </c>
      <c r="E406" s="1" t="s">
        <v>20</v>
      </c>
      <c r="F406" s="1" t="s">
        <v>239</v>
      </c>
      <c r="G406" s="1">
        <v>49639</v>
      </c>
      <c r="H406" s="1" cm="1">
        <f t="array" ref="H406">IF(TRIM(G406)="",
   MEDIAN(IFERROR(--SUBSTITUTE(SUBSTITUTE(SUBSTITUTE(SUBSTITUTE(SUBSTITUTE(SUBSTITUTE(G$2:G$747,"Rs.",""),"INR",""),"₹",""),"â‚¹",""),"$","")," ",""),"")),
   IFERROR(--SUBSTITUTE(SUBSTITUTE(SUBSTITUTE(SUBSTITUTE(SUBSTITUTE(SUBSTITUTE(TRIM(G406),"Rs.",""),"INR",""),"₹",""),"â‚¹",""),"$","")," ",""),"")
)</f>
        <v>49639</v>
      </c>
      <c r="I406" s="1" t="str">
        <f t="shared" si="19"/>
        <v>Nill</v>
      </c>
      <c r="J406" s="1">
        <f t="shared" si="20"/>
        <v>49639</v>
      </c>
      <c r="K406" s="1" t="s">
        <v>1253</v>
      </c>
      <c r="L406" s="1" t="s">
        <v>17</v>
      </c>
      <c r="M406" s="1" t="s">
        <v>128</v>
      </c>
      <c r="N406"/>
    </row>
    <row r="407" spans="1:14" x14ac:dyDescent="0.25">
      <c r="A407" s="1" t="s">
        <v>589</v>
      </c>
      <c r="B407" s="1" t="s">
        <v>590</v>
      </c>
      <c r="C407" s="5">
        <v>45177</v>
      </c>
      <c r="D407" s="6">
        <f t="shared" si="18"/>
        <v>45177</v>
      </c>
      <c r="E407" s="1" t="s">
        <v>11</v>
      </c>
      <c r="F407" s="1" t="s">
        <v>171</v>
      </c>
      <c r="G407" s="1">
        <v>47146</v>
      </c>
      <c r="H407" s="1" cm="1">
        <f t="array" ref="H407">IF(TRIM(G407)="",
   MEDIAN(IFERROR(--SUBSTITUTE(SUBSTITUTE(SUBSTITUTE(SUBSTITUTE(SUBSTITUTE(SUBSTITUTE(G$2:G$747,"Rs.",""),"INR",""),"₹",""),"â‚¹",""),"$","")," ",""),"")),
   IFERROR(--SUBSTITUTE(SUBSTITUTE(SUBSTITUTE(SUBSTITUTE(SUBSTITUTE(SUBSTITUTE(TRIM(G407),"Rs.",""),"INR",""),"₹",""),"â‚¹",""),"$","")," ",""),"")
)</f>
        <v>47146</v>
      </c>
      <c r="I407" s="1">
        <f t="shared" si="19"/>
        <v>47146</v>
      </c>
      <c r="J407" s="1" t="str">
        <f t="shared" si="20"/>
        <v>Nill</v>
      </c>
      <c r="K407" s="1" t="s">
        <v>12</v>
      </c>
      <c r="L407" s="1" t="s">
        <v>127</v>
      </c>
      <c r="M407" s="1" t="s">
        <v>1253</v>
      </c>
      <c r="N407"/>
    </row>
    <row r="408" spans="1:14" x14ac:dyDescent="0.25">
      <c r="A408" s="1" t="s">
        <v>583</v>
      </c>
      <c r="B408" s="1" t="s">
        <v>51</v>
      </c>
      <c r="C408" s="5">
        <v>44257</v>
      </c>
      <c r="D408" s="6">
        <f t="shared" si="18"/>
        <v>44257</v>
      </c>
      <c r="E408" s="1" t="s">
        <v>11</v>
      </c>
      <c r="F408" s="1" t="s">
        <v>158</v>
      </c>
      <c r="G408" s="1">
        <v>5305</v>
      </c>
      <c r="H408" s="1" cm="1">
        <f t="array" ref="H408">IF(TRIM(G408)="",
   MEDIAN(IFERROR(--SUBSTITUTE(SUBSTITUTE(SUBSTITUTE(SUBSTITUTE(SUBSTITUTE(SUBSTITUTE(G$2:G$747,"Rs.",""),"INR",""),"₹",""),"â‚¹",""),"$","")," ",""),"")),
   IFERROR(--SUBSTITUTE(SUBSTITUTE(SUBSTITUTE(SUBSTITUTE(SUBSTITUTE(SUBSTITUTE(TRIM(G408),"Rs.",""),"INR",""),"₹",""),"â‚¹",""),"$","")," ",""),"")
)</f>
        <v>5305</v>
      </c>
      <c r="I408" s="1">
        <f t="shared" si="19"/>
        <v>5305</v>
      </c>
      <c r="J408" s="1" t="str">
        <f t="shared" si="20"/>
        <v>Nill</v>
      </c>
      <c r="K408" s="1" t="s">
        <v>75</v>
      </c>
      <c r="L408" s="1" t="s">
        <v>299</v>
      </c>
      <c r="M408" s="1" t="s">
        <v>70</v>
      </c>
      <c r="N408"/>
    </row>
    <row r="409" spans="1:14" x14ac:dyDescent="0.25">
      <c r="A409" s="1" t="s">
        <v>1151</v>
      </c>
      <c r="B409" s="1" t="s">
        <v>72</v>
      </c>
      <c r="C409" s="5">
        <v>45378</v>
      </c>
      <c r="D409" s="6">
        <f t="shared" si="18"/>
        <v>45378</v>
      </c>
      <c r="E409" s="1" t="s">
        <v>11</v>
      </c>
      <c r="F409" s="1" t="s">
        <v>69</v>
      </c>
      <c r="G409" s="1">
        <v>2158</v>
      </c>
      <c r="H409" s="1" cm="1">
        <f t="array" ref="H409">IF(TRIM(G409)="",
   MEDIAN(IFERROR(--SUBSTITUTE(SUBSTITUTE(SUBSTITUTE(SUBSTITUTE(SUBSTITUTE(SUBSTITUTE(G$2:G$747,"Rs.",""),"INR",""),"₹",""),"â‚¹",""),"$","")," ",""),"")),
   IFERROR(--SUBSTITUTE(SUBSTITUTE(SUBSTITUTE(SUBSTITUTE(SUBSTITUTE(SUBSTITUTE(TRIM(G409),"Rs.",""),"INR",""),"₹",""),"â‚¹",""),"$","")," ",""),"")
)</f>
        <v>2158</v>
      </c>
      <c r="I409" s="1">
        <f t="shared" si="19"/>
        <v>2158</v>
      </c>
      <c r="J409" s="1" t="str">
        <f t="shared" si="20"/>
        <v>Nill</v>
      </c>
      <c r="K409" s="1" t="s">
        <v>12</v>
      </c>
      <c r="L409" s="1" t="s">
        <v>127</v>
      </c>
      <c r="M409" s="1" t="s">
        <v>35</v>
      </c>
      <c r="N409"/>
    </row>
    <row r="410" spans="1:14" x14ac:dyDescent="0.25">
      <c r="A410" s="1" t="s">
        <v>588</v>
      </c>
      <c r="B410" s="1" t="s">
        <v>399</v>
      </c>
      <c r="C410" s="5">
        <v>44796</v>
      </c>
      <c r="D410" s="6">
        <f t="shared" si="18"/>
        <v>44796</v>
      </c>
      <c r="E410" s="1" t="s">
        <v>11</v>
      </c>
      <c r="F410" s="1" t="s">
        <v>249</v>
      </c>
      <c r="G410" s="1">
        <v>6908</v>
      </c>
      <c r="H410" s="1" cm="1">
        <f t="array" ref="H410">IF(TRIM(G410)="",
   MEDIAN(IFERROR(--SUBSTITUTE(SUBSTITUTE(SUBSTITUTE(SUBSTITUTE(SUBSTITUTE(SUBSTITUTE(G$2:G$747,"Rs.",""),"INR",""),"₹",""),"â‚¹",""),"$","")," ",""),"")),
   IFERROR(--SUBSTITUTE(SUBSTITUTE(SUBSTITUTE(SUBSTITUTE(SUBSTITUTE(SUBSTITUTE(TRIM(G410),"Rs.",""),"INR",""),"₹",""),"â‚¹",""),"$","")," ",""),"")
)</f>
        <v>6908</v>
      </c>
      <c r="I410" s="1">
        <f t="shared" si="19"/>
        <v>6908</v>
      </c>
      <c r="J410" s="1" t="str">
        <f t="shared" si="20"/>
        <v>Nill</v>
      </c>
      <c r="K410" s="1" t="s">
        <v>110</v>
      </c>
      <c r="L410" s="1" t="s">
        <v>81</v>
      </c>
      <c r="M410" s="1" t="s">
        <v>1253</v>
      </c>
      <c r="N410"/>
    </row>
    <row r="411" spans="1:14" x14ac:dyDescent="0.25">
      <c r="A411" s="1" t="s">
        <v>892</v>
      </c>
      <c r="B411" s="1" t="s">
        <v>306</v>
      </c>
      <c r="C411" s="5">
        <v>44690</v>
      </c>
      <c r="D411" s="6">
        <f t="shared" si="18"/>
        <v>44690</v>
      </c>
      <c r="E411" s="1" t="s">
        <v>11</v>
      </c>
      <c r="F411" s="1" t="s">
        <v>69</v>
      </c>
      <c r="G411" s="1">
        <v>3756</v>
      </c>
      <c r="H411" s="1" cm="1">
        <f t="array" ref="H411">IF(TRIM(G411)="",
   MEDIAN(IFERROR(--SUBSTITUTE(SUBSTITUTE(SUBSTITUTE(SUBSTITUTE(SUBSTITUTE(SUBSTITUTE(G$2:G$747,"Rs.",""),"INR",""),"₹",""),"â‚¹",""),"$","")," ",""),"")),
   IFERROR(--SUBSTITUTE(SUBSTITUTE(SUBSTITUTE(SUBSTITUTE(SUBSTITUTE(SUBSTITUTE(TRIM(G411),"Rs.",""),"INR",""),"₹",""),"â‚¹",""),"$","")," ",""),"")
)</f>
        <v>3756</v>
      </c>
      <c r="I411" s="1">
        <f t="shared" si="19"/>
        <v>3756</v>
      </c>
      <c r="J411" s="1" t="str">
        <f t="shared" si="20"/>
        <v>Nill</v>
      </c>
      <c r="K411" s="1" t="s">
        <v>75</v>
      </c>
      <c r="L411" s="1" t="s">
        <v>97</v>
      </c>
      <c r="M411" s="1" t="s">
        <v>49</v>
      </c>
      <c r="N411"/>
    </row>
    <row r="412" spans="1:14" x14ac:dyDescent="0.25">
      <c r="A412" s="1" t="s">
        <v>938</v>
      </c>
      <c r="B412" s="1" t="s">
        <v>248</v>
      </c>
      <c r="C412" s="5">
        <v>44845</v>
      </c>
      <c r="D412" s="6">
        <f t="shared" si="18"/>
        <v>44845</v>
      </c>
      <c r="E412" s="1" t="s">
        <v>11</v>
      </c>
      <c r="F412" s="1" t="s">
        <v>249</v>
      </c>
      <c r="G412" s="1">
        <v>941</v>
      </c>
      <c r="H412" s="1" cm="1">
        <f t="array" ref="H412">IF(TRIM(G412)="",
   MEDIAN(IFERROR(--SUBSTITUTE(SUBSTITUTE(SUBSTITUTE(SUBSTITUTE(SUBSTITUTE(SUBSTITUTE(G$2:G$747,"Rs.",""),"INR",""),"₹",""),"â‚¹",""),"$","")," ",""),"")),
   IFERROR(--SUBSTITUTE(SUBSTITUTE(SUBSTITUTE(SUBSTITUTE(SUBSTITUTE(SUBSTITUTE(TRIM(G412),"Rs.",""),"INR",""),"₹",""),"â‚¹",""),"$","")," ",""),"")
)</f>
        <v>941</v>
      </c>
      <c r="I412" s="1">
        <f t="shared" si="19"/>
        <v>941</v>
      </c>
      <c r="J412" s="1" t="str">
        <f t="shared" si="20"/>
        <v>Nill</v>
      </c>
      <c r="K412" s="1" t="s">
        <v>138</v>
      </c>
      <c r="L412" s="1" t="s">
        <v>217</v>
      </c>
      <c r="M412" s="1" t="s">
        <v>252</v>
      </c>
      <c r="N412"/>
    </row>
    <row r="413" spans="1:14" x14ac:dyDescent="0.25">
      <c r="A413" s="1" t="s">
        <v>750</v>
      </c>
      <c r="B413" s="1" t="s">
        <v>34</v>
      </c>
      <c r="C413" s="1" t="s">
        <v>751</v>
      </c>
      <c r="D413" s="6">
        <f t="shared" si="18"/>
        <v>44850</v>
      </c>
      <c r="E413" s="1" t="s">
        <v>20</v>
      </c>
      <c r="F413" s="1" t="s">
        <v>112</v>
      </c>
      <c r="G413" s="1">
        <v>44066</v>
      </c>
      <c r="H413" s="1" cm="1">
        <f t="array" ref="H413">IF(TRIM(G413)="",
   MEDIAN(IFERROR(--SUBSTITUTE(SUBSTITUTE(SUBSTITUTE(SUBSTITUTE(SUBSTITUTE(SUBSTITUTE(G$2:G$747,"Rs.",""),"INR",""),"₹",""),"â‚¹",""),"$","")," ",""),"")),
   IFERROR(--SUBSTITUTE(SUBSTITUTE(SUBSTITUTE(SUBSTITUTE(SUBSTITUTE(SUBSTITUTE(TRIM(G413),"Rs.",""),"INR",""),"₹",""),"â‚¹",""),"$","")," ",""),"")
)</f>
        <v>44066</v>
      </c>
      <c r="I413" s="1" t="str">
        <f t="shared" si="19"/>
        <v>Nill</v>
      </c>
      <c r="J413" s="1">
        <f t="shared" si="20"/>
        <v>44066</v>
      </c>
      <c r="K413" s="1" t="s">
        <v>138</v>
      </c>
      <c r="L413" s="1" t="s">
        <v>217</v>
      </c>
      <c r="M413" s="1" t="s">
        <v>49</v>
      </c>
      <c r="N413"/>
    </row>
    <row r="414" spans="1:14" x14ac:dyDescent="0.25">
      <c r="A414" s="1" t="s">
        <v>1211</v>
      </c>
      <c r="B414" s="1" t="s">
        <v>206</v>
      </c>
      <c r="C414" s="5">
        <v>44497</v>
      </c>
      <c r="D414" s="6">
        <f t="shared" si="18"/>
        <v>44497</v>
      </c>
      <c r="E414" s="1" t="s">
        <v>11</v>
      </c>
      <c r="F414" s="1" t="s">
        <v>171</v>
      </c>
      <c r="G414" s="1" t="s">
        <v>1212</v>
      </c>
      <c r="H414" s="1" cm="1">
        <f t="array" ref="H414">IF(TRIM(G414)="",
   MEDIAN(IFERROR(--SUBSTITUTE(SUBSTITUTE(SUBSTITUTE(SUBSTITUTE(SUBSTITUTE(SUBSTITUTE(G$2:G$747,"Rs.",""),"INR",""),"₹",""),"â‚¹",""),"$","")," ",""),"")),
   IFERROR(--SUBSTITUTE(SUBSTITUTE(SUBSTITUTE(SUBSTITUTE(SUBSTITUTE(SUBSTITUTE(TRIM(G414),"Rs.",""),"INR",""),"₹",""),"â‚¹",""),"$","")," ",""),"")
)</f>
        <v>3737</v>
      </c>
      <c r="I414" s="1">
        <f t="shared" si="19"/>
        <v>3737</v>
      </c>
      <c r="J414" s="1" t="str">
        <f t="shared" si="20"/>
        <v>Nill</v>
      </c>
      <c r="K414" s="1" t="s">
        <v>1253</v>
      </c>
      <c r="L414" s="1" t="s">
        <v>97</v>
      </c>
      <c r="M414" s="1" t="s">
        <v>76</v>
      </c>
      <c r="N414"/>
    </row>
    <row r="415" spans="1:14" x14ac:dyDescent="0.25">
      <c r="A415" s="1" t="s">
        <v>574</v>
      </c>
      <c r="B415" s="1" t="s">
        <v>80</v>
      </c>
      <c r="C415" s="5">
        <v>45056</v>
      </c>
      <c r="D415" s="6">
        <f t="shared" si="18"/>
        <v>45056</v>
      </c>
      <c r="E415" s="1" t="s">
        <v>11</v>
      </c>
      <c r="F415" s="1" t="s">
        <v>69</v>
      </c>
      <c r="G415" s="1">
        <v>2247</v>
      </c>
      <c r="H415" s="1" cm="1">
        <f t="array" ref="H415">IF(TRIM(G415)="",
   MEDIAN(IFERROR(--SUBSTITUTE(SUBSTITUTE(SUBSTITUTE(SUBSTITUTE(SUBSTITUTE(SUBSTITUTE(G$2:G$747,"Rs.",""),"INR",""),"₹",""),"â‚¹",""),"$","")," ",""),"")),
   IFERROR(--SUBSTITUTE(SUBSTITUTE(SUBSTITUTE(SUBSTITUTE(SUBSTITUTE(SUBSTITUTE(TRIM(G415),"Rs.",""),"INR",""),"₹",""),"â‚¹",""),"$","")," ",""),"")
)</f>
        <v>2247</v>
      </c>
      <c r="I415" s="1">
        <f t="shared" si="19"/>
        <v>2247</v>
      </c>
      <c r="J415" s="1" t="str">
        <f t="shared" si="20"/>
        <v>Nill</v>
      </c>
      <c r="K415" s="1" t="s">
        <v>12</v>
      </c>
      <c r="L415" s="1" t="s">
        <v>299</v>
      </c>
      <c r="M415" s="1" t="s">
        <v>41</v>
      </c>
      <c r="N415"/>
    </row>
    <row r="416" spans="1:14" x14ac:dyDescent="0.25">
      <c r="A416" s="1" t="s">
        <v>567</v>
      </c>
      <c r="B416" s="1" t="s">
        <v>568</v>
      </c>
      <c r="C416" s="5">
        <v>44372</v>
      </c>
      <c r="D416" s="6">
        <f t="shared" si="18"/>
        <v>44372</v>
      </c>
      <c r="E416" s="1" t="s">
        <v>11</v>
      </c>
      <c r="F416" s="1" t="s">
        <v>69</v>
      </c>
      <c r="G416" s="1">
        <v>9784</v>
      </c>
      <c r="H416" s="1" cm="1">
        <f t="array" ref="H416">IF(TRIM(G416)="",
   MEDIAN(IFERROR(--SUBSTITUTE(SUBSTITUTE(SUBSTITUTE(SUBSTITUTE(SUBSTITUTE(SUBSTITUTE(G$2:G$747,"Rs.",""),"INR",""),"₹",""),"â‚¹",""),"$","")," ",""),"")),
   IFERROR(--SUBSTITUTE(SUBSTITUTE(SUBSTITUTE(SUBSTITUTE(SUBSTITUTE(SUBSTITUTE(TRIM(G416),"Rs.",""),"INR",""),"₹",""),"â‚¹",""),"$","")," ",""),"")
)</f>
        <v>9784</v>
      </c>
      <c r="I416" s="1">
        <f t="shared" si="19"/>
        <v>9784</v>
      </c>
      <c r="J416" s="1" t="str">
        <f t="shared" si="20"/>
        <v>Nill</v>
      </c>
      <c r="K416" s="1" t="s">
        <v>12</v>
      </c>
      <c r="L416" s="1" t="s">
        <v>97</v>
      </c>
      <c r="M416" s="1" t="s">
        <v>41</v>
      </c>
      <c r="N416"/>
    </row>
    <row r="417" spans="1:14" x14ac:dyDescent="0.25">
      <c r="A417" s="1" t="s">
        <v>364</v>
      </c>
      <c r="B417" s="1" t="s">
        <v>365</v>
      </c>
      <c r="C417" s="1" t="s">
        <v>366</v>
      </c>
      <c r="D417" s="6">
        <f t="shared" si="18"/>
        <v>45530</v>
      </c>
      <c r="E417" s="1" t="s">
        <v>11</v>
      </c>
      <c r="F417" s="1" t="s">
        <v>171</v>
      </c>
      <c r="G417" s="1">
        <v>43252</v>
      </c>
      <c r="H417" s="1" cm="1">
        <f t="array" ref="H417">IF(TRIM(G417)="",
   MEDIAN(IFERROR(--SUBSTITUTE(SUBSTITUTE(SUBSTITUTE(SUBSTITUTE(SUBSTITUTE(SUBSTITUTE(G$2:G$747,"Rs.",""),"INR",""),"₹",""),"â‚¹",""),"$","")," ",""),"")),
   IFERROR(--SUBSTITUTE(SUBSTITUTE(SUBSTITUTE(SUBSTITUTE(SUBSTITUTE(SUBSTITUTE(TRIM(G417),"Rs.",""),"INR",""),"₹",""),"â‚¹",""),"$","")," ",""),"")
)</f>
        <v>43252</v>
      </c>
      <c r="I417" s="1">
        <f t="shared" si="19"/>
        <v>43252</v>
      </c>
      <c r="J417" s="1" t="str">
        <f t="shared" si="20"/>
        <v>Nill</v>
      </c>
      <c r="K417" s="1" t="s">
        <v>138</v>
      </c>
      <c r="L417" s="1" t="s">
        <v>127</v>
      </c>
      <c r="M417" s="1" t="s">
        <v>35</v>
      </c>
      <c r="N417"/>
    </row>
    <row r="418" spans="1:14" x14ac:dyDescent="0.25">
      <c r="A418" s="1" t="s">
        <v>591</v>
      </c>
      <c r="B418" s="1" t="s">
        <v>72</v>
      </c>
      <c r="C418" s="5">
        <v>45488</v>
      </c>
      <c r="D418" s="6">
        <f t="shared" si="18"/>
        <v>45488</v>
      </c>
      <c r="E418" s="1" t="s">
        <v>11</v>
      </c>
      <c r="F418" s="1" t="s">
        <v>465</v>
      </c>
      <c r="G418" s="1">
        <v>5749</v>
      </c>
      <c r="H418" s="1" cm="1">
        <f t="array" ref="H418">IF(TRIM(G418)="",
   MEDIAN(IFERROR(--SUBSTITUTE(SUBSTITUTE(SUBSTITUTE(SUBSTITUTE(SUBSTITUTE(SUBSTITUTE(G$2:G$747,"Rs.",""),"INR",""),"₹",""),"â‚¹",""),"$","")," ",""),"")),
   IFERROR(--SUBSTITUTE(SUBSTITUTE(SUBSTITUTE(SUBSTITUTE(SUBSTITUTE(SUBSTITUTE(TRIM(G418),"Rs.",""),"INR",""),"₹",""),"â‚¹",""),"$","")," ",""),"")
)</f>
        <v>5749</v>
      </c>
      <c r="I418" s="1">
        <f t="shared" si="19"/>
        <v>5749</v>
      </c>
      <c r="J418" s="1" t="str">
        <f t="shared" si="20"/>
        <v>Nill</v>
      </c>
      <c r="K418" s="1" t="s">
        <v>138</v>
      </c>
      <c r="L418" s="1" t="s">
        <v>167</v>
      </c>
      <c r="M418" s="1" t="s">
        <v>122</v>
      </c>
      <c r="N418"/>
    </row>
    <row r="419" spans="1:14" x14ac:dyDescent="0.25">
      <c r="A419" s="1" t="s">
        <v>1165</v>
      </c>
      <c r="B419" s="1" t="s">
        <v>101</v>
      </c>
      <c r="C419" s="5">
        <v>44682</v>
      </c>
      <c r="D419" s="6">
        <f t="shared" si="18"/>
        <v>44682</v>
      </c>
      <c r="E419" s="1" t="s">
        <v>11</v>
      </c>
      <c r="F419" s="1" t="s">
        <v>158</v>
      </c>
      <c r="G419" s="1">
        <v>8479</v>
      </c>
      <c r="H419" s="1" cm="1">
        <f t="array" ref="H419">IF(TRIM(G419)="",
   MEDIAN(IFERROR(--SUBSTITUTE(SUBSTITUTE(SUBSTITUTE(SUBSTITUTE(SUBSTITUTE(SUBSTITUTE(G$2:G$747,"Rs.",""),"INR",""),"₹",""),"â‚¹",""),"$","")," ",""),"")),
   IFERROR(--SUBSTITUTE(SUBSTITUTE(SUBSTITUTE(SUBSTITUTE(SUBSTITUTE(SUBSTITUTE(TRIM(G419),"Rs.",""),"INR",""),"₹",""),"â‚¹",""),"$","")," ",""),"")
)</f>
        <v>8479</v>
      </c>
      <c r="I419" s="1">
        <f t="shared" si="19"/>
        <v>8479</v>
      </c>
      <c r="J419" s="1" t="str">
        <f t="shared" si="20"/>
        <v>Nill</v>
      </c>
      <c r="K419" s="1" t="s">
        <v>48</v>
      </c>
      <c r="L419" s="1" t="s">
        <v>97</v>
      </c>
      <c r="M419" s="1" t="s">
        <v>41</v>
      </c>
      <c r="N419"/>
    </row>
    <row r="420" spans="1:14" x14ac:dyDescent="0.25">
      <c r="A420" s="1" t="s">
        <v>581</v>
      </c>
      <c r="B420" s="1" t="s">
        <v>352</v>
      </c>
      <c r="C420" s="5">
        <v>45646</v>
      </c>
      <c r="D420" s="6">
        <f t="shared" si="18"/>
        <v>45646</v>
      </c>
      <c r="E420" s="1" t="s">
        <v>11</v>
      </c>
      <c r="F420" s="1" t="s">
        <v>85</v>
      </c>
      <c r="G420" s="1" t="s">
        <v>582</v>
      </c>
      <c r="H420" s="1" cm="1">
        <f t="array" ref="H420">IF(TRIM(G420)="",
   MEDIAN(IFERROR(--SUBSTITUTE(SUBSTITUTE(SUBSTITUTE(SUBSTITUTE(SUBSTITUTE(SUBSTITUTE(G$2:G$747,"Rs.",""),"INR",""),"₹",""),"â‚¹",""),"$","")," ",""),"")),
   IFERROR(--SUBSTITUTE(SUBSTITUTE(SUBSTITUTE(SUBSTITUTE(SUBSTITUTE(SUBSTITUTE(TRIM(G420),"Rs.",""),"INR",""),"₹",""),"â‚¹",""),"$","")," ",""),"")
)</f>
        <v>4692</v>
      </c>
      <c r="I420" s="1">
        <f t="shared" si="19"/>
        <v>4692</v>
      </c>
      <c r="J420" s="1" t="str">
        <f t="shared" si="20"/>
        <v>Nill</v>
      </c>
      <c r="K420" s="1" t="s">
        <v>48</v>
      </c>
      <c r="L420" s="1" t="s">
        <v>97</v>
      </c>
      <c r="M420" s="1" t="s">
        <v>252</v>
      </c>
      <c r="N420"/>
    </row>
    <row r="421" spans="1:14" x14ac:dyDescent="0.25">
      <c r="A421" s="1" t="s">
        <v>748</v>
      </c>
      <c r="B421" s="1" t="s">
        <v>376</v>
      </c>
      <c r="C421" s="5">
        <v>45345</v>
      </c>
      <c r="D421" s="6">
        <f t="shared" si="18"/>
        <v>45345</v>
      </c>
      <c r="E421" s="1" t="s">
        <v>11</v>
      </c>
      <c r="F421" s="1" t="s">
        <v>69</v>
      </c>
      <c r="G421" s="1">
        <v>655</v>
      </c>
      <c r="H421" s="1" cm="1">
        <f t="array" ref="H421">IF(TRIM(G421)="",
   MEDIAN(IFERROR(--SUBSTITUTE(SUBSTITUTE(SUBSTITUTE(SUBSTITUTE(SUBSTITUTE(SUBSTITUTE(G$2:G$747,"Rs.",""),"INR",""),"₹",""),"â‚¹",""),"$","")," ",""),"")),
   IFERROR(--SUBSTITUTE(SUBSTITUTE(SUBSTITUTE(SUBSTITUTE(SUBSTITUTE(SUBSTITUTE(TRIM(G421),"Rs.",""),"INR",""),"₹",""),"â‚¹",""),"$","")," ",""),"")
)</f>
        <v>655</v>
      </c>
      <c r="I421" s="1">
        <f t="shared" si="19"/>
        <v>655</v>
      </c>
      <c r="J421" s="1" t="str">
        <f t="shared" si="20"/>
        <v>Nill</v>
      </c>
      <c r="K421" s="1" t="s">
        <v>75</v>
      </c>
      <c r="L421" s="1" t="s">
        <v>17</v>
      </c>
      <c r="M421" s="1" t="s">
        <v>76</v>
      </c>
      <c r="N421"/>
    </row>
    <row r="422" spans="1:14" x14ac:dyDescent="0.25">
      <c r="A422" s="1" t="s">
        <v>1207</v>
      </c>
      <c r="B422" s="1" t="s">
        <v>212</v>
      </c>
      <c r="C422" s="5">
        <v>44511</v>
      </c>
      <c r="D422" s="6">
        <f t="shared" si="18"/>
        <v>44511</v>
      </c>
      <c r="E422" s="1" t="s">
        <v>11</v>
      </c>
      <c r="F422" s="1" t="s">
        <v>85</v>
      </c>
      <c r="G422" s="1">
        <v>4882</v>
      </c>
      <c r="H422" s="1" cm="1">
        <f t="array" ref="H422">IF(TRIM(G422)="",
   MEDIAN(IFERROR(--SUBSTITUTE(SUBSTITUTE(SUBSTITUTE(SUBSTITUTE(SUBSTITUTE(SUBSTITUTE(G$2:G$747,"Rs.",""),"INR",""),"₹",""),"â‚¹",""),"$","")," ",""),"")),
   IFERROR(--SUBSTITUTE(SUBSTITUTE(SUBSTITUTE(SUBSTITUTE(SUBSTITUTE(SUBSTITUTE(TRIM(G422),"Rs.",""),"INR",""),"₹",""),"â‚¹",""),"$","")," ",""),"")
)</f>
        <v>4882</v>
      </c>
      <c r="I422" s="1">
        <f t="shared" si="19"/>
        <v>4882</v>
      </c>
      <c r="J422" s="1" t="str">
        <f t="shared" si="20"/>
        <v>Nill</v>
      </c>
      <c r="K422" s="1" t="s">
        <v>261</v>
      </c>
      <c r="L422" s="1" t="s">
        <v>40</v>
      </c>
      <c r="M422" s="1" t="s">
        <v>1253</v>
      </c>
      <c r="N422"/>
    </row>
    <row r="423" spans="1:14" x14ac:dyDescent="0.25">
      <c r="A423" s="1" t="s">
        <v>1022</v>
      </c>
      <c r="B423" s="1" t="s">
        <v>464</v>
      </c>
      <c r="C423" s="5">
        <v>44432</v>
      </c>
      <c r="D423" s="6">
        <f t="shared" si="18"/>
        <v>44432</v>
      </c>
      <c r="E423" s="1" t="s">
        <v>11</v>
      </c>
      <c r="F423" s="1" t="s">
        <v>1244</v>
      </c>
      <c r="G423" s="1">
        <v>4883</v>
      </c>
      <c r="H423" s="1" cm="1">
        <f t="array" ref="H423">IF(TRIM(G423)="",
   MEDIAN(IFERROR(--SUBSTITUTE(SUBSTITUTE(SUBSTITUTE(SUBSTITUTE(SUBSTITUTE(SUBSTITUTE(G$2:G$747,"Rs.",""),"INR",""),"₹",""),"â‚¹",""),"$","")," ",""),"")),
   IFERROR(--SUBSTITUTE(SUBSTITUTE(SUBSTITUTE(SUBSTITUTE(SUBSTITUTE(SUBSTITUTE(TRIM(G423),"Rs.",""),"INR",""),"₹",""),"â‚¹",""),"$","")," ",""),"")
)</f>
        <v>4883</v>
      </c>
      <c r="I423" s="1">
        <f t="shared" si="19"/>
        <v>4883</v>
      </c>
      <c r="J423" s="1" t="str">
        <f t="shared" si="20"/>
        <v>Nill</v>
      </c>
      <c r="K423" s="1" t="s">
        <v>12</v>
      </c>
      <c r="L423" s="1" t="s">
        <v>299</v>
      </c>
      <c r="M423" s="1" t="s">
        <v>117</v>
      </c>
      <c r="N423"/>
    </row>
    <row r="424" spans="1:14" x14ac:dyDescent="0.25">
      <c r="A424" s="1" t="s">
        <v>1014</v>
      </c>
      <c r="B424" s="1" t="s">
        <v>197</v>
      </c>
      <c r="C424" s="5">
        <v>45027</v>
      </c>
      <c r="D424" s="6">
        <f t="shared" si="18"/>
        <v>45027</v>
      </c>
      <c r="E424" s="1" t="s">
        <v>11</v>
      </c>
      <c r="F424" s="1" t="s">
        <v>69</v>
      </c>
      <c r="G424" s="1">
        <v>3980</v>
      </c>
      <c r="H424" s="1" cm="1">
        <f t="array" ref="H424">IF(TRIM(G424)="",
   MEDIAN(IFERROR(--SUBSTITUTE(SUBSTITUTE(SUBSTITUTE(SUBSTITUTE(SUBSTITUTE(SUBSTITUTE(G$2:G$747,"Rs.",""),"INR",""),"₹",""),"â‚¹",""),"$","")," ",""),"")),
   IFERROR(--SUBSTITUTE(SUBSTITUTE(SUBSTITUTE(SUBSTITUTE(SUBSTITUTE(SUBSTITUTE(TRIM(G424),"Rs.",""),"INR",""),"₹",""),"â‚¹",""),"$","")," ",""),"")
)</f>
        <v>3980</v>
      </c>
      <c r="I424" s="1">
        <f t="shared" si="19"/>
        <v>3980</v>
      </c>
      <c r="J424" s="1" t="str">
        <f t="shared" si="20"/>
        <v>Nill</v>
      </c>
      <c r="K424" s="1" t="s">
        <v>87</v>
      </c>
      <c r="L424" s="1" t="s">
        <v>167</v>
      </c>
      <c r="M424" s="1" t="s">
        <v>210</v>
      </c>
      <c r="N424"/>
    </row>
    <row r="425" spans="1:14" x14ac:dyDescent="0.25">
      <c r="A425" s="1" t="s">
        <v>406</v>
      </c>
      <c r="B425" s="1" t="s">
        <v>407</v>
      </c>
      <c r="C425" s="5">
        <v>44507</v>
      </c>
      <c r="D425" s="6">
        <f t="shared" si="18"/>
        <v>44507</v>
      </c>
      <c r="E425" s="1" t="s">
        <v>11</v>
      </c>
      <c r="F425" s="1" t="s">
        <v>1253</v>
      </c>
      <c r="G425" s="1">
        <v>6902</v>
      </c>
      <c r="H425" s="1" cm="1">
        <f t="array" ref="H425">IF(TRIM(G425)="",
   MEDIAN(IFERROR(--SUBSTITUTE(SUBSTITUTE(SUBSTITUTE(SUBSTITUTE(SUBSTITUTE(SUBSTITUTE(G$2:G$747,"Rs.",""),"INR",""),"₹",""),"â‚¹",""),"$","")," ",""),"")),
   IFERROR(--SUBSTITUTE(SUBSTITUTE(SUBSTITUTE(SUBSTITUTE(SUBSTITUTE(SUBSTITUTE(TRIM(G425),"Rs.",""),"INR",""),"₹",""),"â‚¹",""),"$","")," ",""),"")
)</f>
        <v>6902</v>
      </c>
      <c r="I425" s="1">
        <f t="shared" si="19"/>
        <v>6902</v>
      </c>
      <c r="J425" s="1" t="str">
        <f t="shared" si="20"/>
        <v>Nill</v>
      </c>
      <c r="K425" s="1" t="s">
        <v>12</v>
      </c>
      <c r="L425" s="1" t="s">
        <v>127</v>
      </c>
      <c r="M425" s="1" t="s">
        <v>210</v>
      </c>
      <c r="N425"/>
    </row>
    <row r="426" spans="1:14" x14ac:dyDescent="0.25">
      <c r="A426" s="1" t="s">
        <v>669</v>
      </c>
      <c r="B426" s="1" t="s">
        <v>596</v>
      </c>
      <c r="C426" s="1" t="s">
        <v>670</v>
      </c>
      <c r="D426" s="6">
        <f t="shared" si="18"/>
        <v>44400</v>
      </c>
      <c r="E426" s="1" t="s">
        <v>11</v>
      </c>
      <c r="F426" s="1" t="s">
        <v>69</v>
      </c>
      <c r="G426" s="1" t="s">
        <v>671</v>
      </c>
      <c r="H426" s="1" cm="1">
        <f t="array" ref="H426">IF(TRIM(G426)="",
   MEDIAN(IFERROR(--SUBSTITUTE(SUBSTITUTE(SUBSTITUTE(SUBSTITUTE(SUBSTITUTE(SUBSTITUTE(G$2:G$747,"Rs.",""),"INR",""),"₹",""),"â‚¹",""),"$","")," ",""),"")),
   IFERROR(--SUBSTITUTE(SUBSTITUTE(SUBSTITUTE(SUBSTITUTE(SUBSTITUTE(SUBSTITUTE(TRIM(G426),"Rs.",""),"INR",""),"₹",""),"â‚¹",""),"$","")," ",""),"")
)</f>
        <v>6556</v>
      </c>
      <c r="I426" s="1">
        <f t="shared" si="19"/>
        <v>6556</v>
      </c>
      <c r="J426" s="1" t="str">
        <f t="shared" si="20"/>
        <v>Nill</v>
      </c>
      <c r="K426" s="1" t="s">
        <v>172</v>
      </c>
      <c r="L426" s="1" t="s">
        <v>198</v>
      </c>
      <c r="M426" s="1" t="s">
        <v>1253</v>
      </c>
      <c r="N426"/>
    </row>
    <row r="427" spans="1:14" x14ac:dyDescent="0.25">
      <c r="A427" s="1" t="s">
        <v>922</v>
      </c>
      <c r="B427" s="1" t="s">
        <v>421</v>
      </c>
      <c r="C427" s="5">
        <v>45376</v>
      </c>
      <c r="D427" s="6">
        <f t="shared" si="18"/>
        <v>45376</v>
      </c>
      <c r="E427" s="1" t="s">
        <v>11</v>
      </c>
      <c r="F427" s="1" t="s">
        <v>171</v>
      </c>
      <c r="G427" s="1">
        <v>1020</v>
      </c>
      <c r="H427" s="1" cm="1">
        <f t="array" ref="H427">IF(TRIM(G427)="",
   MEDIAN(IFERROR(--SUBSTITUTE(SUBSTITUTE(SUBSTITUTE(SUBSTITUTE(SUBSTITUTE(SUBSTITUTE(G$2:G$747,"Rs.",""),"INR",""),"₹",""),"â‚¹",""),"$","")," ",""),"")),
   IFERROR(--SUBSTITUTE(SUBSTITUTE(SUBSTITUTE(SUBSTITUTE(SUBSTITUTE(SUBSTITUTE(TRIM(G427),"Rs.",""),"INR",""),"₹",""),"â‚¹",""),"$","")," ",""),"")
)</f>
        <v>1020</v>
      </c>
      <c r="I427" s="1">
        <f t="shared" si="19"/>
        <v>1020</v>
      </c>
      <c r="J427" s="1" t="str">
        <f t="shared" si="20"/>
        <v>Nill</v>
      </c>
      <c r="K427" s="1" t="s">
        <v>138</v>
      </c>
      <c r="L427" s="1" t="s">
        <v>81</v>
      </c>
      <c r="M427" s="1" t="s">
        <v>1253</v>
      </c>
      <c r="N427"/>
    </row>
    <row r="428" spans="1:14" x14ac:dyDescent="0.25">
      <c r="A428" s="1" t="s">
        <v>913</v>
      </c>
      <c r="B428" s="1" t="s">
        <v>46</v>
      </c>
      <c r="C428" s="5">
        <v>45179</v>
      </c>
      <c r="D428" s="6">
        <f t="shared" si="18"/>
        <v>45179</v>
      </c>
      <c r="E428" s="1" t="s">
        <v>11</v>
      </c>
      <c r="F428" s="1" t="s">
        <v>69</v>
      </c>
      <c r="G428" s="1">
        <v>1255</v>
      </c>
      <c r="H428" s="1" cm="1">
        <f t="array" ref="H428">IF(TRIM(G428)="",
   MEDIAN(IFERROR(--SUBSTITUTE(SUBSTITUTE(SUBSTITUTE(SUBSTITUTE(SUBSTITUTE(SUBSTITUTE(G$2:G$747,"Rs.",""),"INR",""),"₹",""),"â‚¹",""),"$","")," ",""),"")),
   IFERROR(--SUBSTITUTE(SUBSTITUTE(SUBSTITUTE(SUBSTITUTE(SUBSTITUTE(SUBSTITUTE(TRIM(G428),"Rs.",""),"INR",""),"₹",""),"â‚¹",""),"$","")," ",""),"")
)</f>
        <v>1255</v>
      </c>
      <c r="I428" s="1">
        <f t="shared" si="19"/>
        <v>1255</v>
      </c>
      <c r="J428" s="1" t="str">
        <f t="shared" si="20"/>
        <v>Nill</v>
      </c>
      <c r="K428" s="1" t="s">
        <v>25</v>
      </c>
      <c r="L428" s="1" t="s">
        <v>81</v>
      </c>
      <c r="M428" s="1" t="s">
        <v>14</v>
      </c>
      <c r="N428"/>
    </row>
    <row r="429" spans="1:14" x14ac:dyDescent="0.25">
      <c r="A429" s="1" t="s">
        <v>446</v>
      </c>
      <c r="B429" s="1" t="s">
        <v>254</v>
      </c>
      <c r="C429" s="5">
        <v>45415</v>
      </c>
      <c r="D429" s="6">
        <f t="shared" si="18"/>
        <v>45415</v>
      </c>
      <c r="E429" s="1" t="s">
        <v>11</v>
      </c>
      <c r="F429" s="1" t="s">
        <v>158</v>
      </c>
      <c r="G429" s="1">
        <v>6304</v>
      </c>
      <c r="H429" s="1" cm="1">
        <f t="array" ref="H429">IF(TRIM(G429)="",
   MEDIAN(IFERROR(--SUBSTITUTE(SUBSTITUTE(SUBSTITUTE(SUBSTITUTE(SUBSTITUTE(SUBSTITUTE(G$2:G$747,"Rs.",""),"INR",""),"₹",""),"â‚¹",""),"$","")," ",""),"")),
   IFERROR(--SUBSTITUTE(SUBSTITUTE(SUBSTITUTE(SUBSTITUTE(SUBSTITUTE(SUBSTITUTE(TRIM(G429),"Rs.",""),"INR",""),"₹",""),"â‚¹",""),"$","")," ",""),"")
)</f>
        <v>6304</v>
      </c>
      <c r="I429" s="1">
        <f t="shared" si="19"/>
        <v>6304</v>
      </c>
      <c r="J429" s="1" t="str">
        <f t="shared" si="20"/>
        <v>Nill</v>
      </c>
      <c r="K429" s="1" t="s">
        <v>53</v>
      </c>
      <c r="L429" s="1" t="s">
        <v>167</v>
      </c>
      <c r="M429" s="1" t="s">
        <v>252</v>
      </c>
      <c r="N429"/>
    </row>
    <row r="430" spans="1:14" x14ac:dyDescent="0.25">
      <c r="A430" s="1" t="s">
        <v>1158</v>
      </c>
      <c r="B430" s="1" t="s">
        <v>1159</v>
      </c>
      <c r="C430" s="5">
        <v>44964</v>
      </c>
      <c r="D430" s="6">
        <f t="shared" si="18"/>
        <v>44964</v>
      </c>
      <c r="E430" s="1" t="s">
        <v>11</v>
      </c>
      <c r="F430" s="1" t="s">
        <v>69</v>
      </c>
      <c r="G430" s="1">
        <v>1969</v>
      </c>
      <c r="H430" s="1" cm="1">
        <f t="array" ref="H430">IF(TRIM(G430)="",
   MEDIAN(IFERROR(--SUBSTITUTE(SUBSTITUTE(SUBSTITUTE(SUBSTITUTE(SUBSTITUTE(SUBSTITUTE(G$2:G$747,"Rs.",""),"INR",""),"₹",""),"â‚¹",""),"$","")," ",""),"")),
   IFERROR(--SUBSTITUTE(SUBSTITUTE(SUBSTITUTE(SUBSTITUTE(SUBSTITUTE(SUBSTITUTE(TRIM(G430),"Rs.",""),"INR",""),"₹",""),"â‚¹",""),"$","")," ",""),"")
)</f>
        <v>1969</v>
      </c>
      <c r="I430" s="1">
        <f t="shared" si="19"/>
        <v>1969</v>
      </c>
      <c r="J430" s="1" t="str">
        <f t="shared" si="20"/>
        <v>Nill</v>
      </c>
      <c r="K430" s="1" t="s">
        <v>31</v>
      </c>
      <c r="L430" s="1" t="s">
        <v>97</v>
      </c>
      <c r="M430" s="1" t="s">
        <v>14</v>
      </c>
      <c r="N430"/>
    </row>
    <row r="431" spans="1:14" x14ac:dyDescent="0.25">
      <c r="A431" s="1" t="s">
        <v>792</v>
      </c>
      <c r="B431" s="1" t="s">
        <v>34</v>
      </c>
      <c r="C431" s="5">
        <v>44904</v>
      </c>
      <c r="D431" s="6">
        <f t="shared" si="18"/>
        <v>44904</v>
      </c>
      <c r="E431" s="1" t="s">
        <v>11</v>
      </c>
      <c r="F431" s="1" t="s">
        <v>85</v>
      </c>
      <c r="G431" s="1">
        <v>5279</v>
      </c>
      <c r="H431" s="1" cm="1">
        <f t="array" ref="H431">IF(TRIM(G431)="",
   MEDIAN(IFERROR(--SUBSTITUTE(SUBSTITUTE(SUBSTITUTE(SUBSTITUTE(SUBSTITUTE(SUBSTITUTE(G$2:G$747,"Rs.",""),"INR",""),"₹",""),"â‚¹",""),"$","")," ",""),"")),
   IFERROR(--SUBSTITUTE(SUBSTITUTE(SUBSTITUTE(SUBSTITUTE(SUBSTITUTE(SUBSTITUTE(TRIM(G431),"Rs.",""),"INR",""),"₹",""),"â‚¹",""),"$","")," ",""),"")
)</f>
        <v>5279</v>
      </c>
      <c r="I431" s="1">
        <f t="shared" si="19"/>
        <v>5279</v>
      </c>
      <c r="J431" s="1" t="str">
        <f t="shared" si="20"/>
        <v>Nill</v>
      </c>
      <c r="K431" s="1" t="s">
        <v>138</v>
      </c>
      <c r="L431" s="1" t="s">
        <v>97</v>
      </c>
      <c r="M431" s="1" t="s">
        <v>255</v>
      </c>
      <c r="N431"/>
    </row>
    <row r="432" spans="1:14" x14ac:dyDescent="0.25">
      <c r="A432" s="1" t="s">
        <v>668</v>
      </c>
      <c r="B432" s="1" t="s">
        <v>306</v>
      </c>
      <c r="C432" s="5">
        <v>44988</v>
      </c>
      <c r="D432" s="6">
        <f t="shared" si="18"/>
        <v>44988</v>
      </c>
      <c r="E432" s="1" t="s">
        <v>11</v>
      </c>
      <c r="F432" s="1" t="s">
        <v>69</v>
      </c>
      <c r="G432" s="1">
        <v>700</v>
      </c>
      <c r="H432" s="1" cm="1">
        <f t="array" ref="H432">IF(TRIM(G432)="",
   MEDIAN(IFERROR(--SUBSTITUTE(SUBSTITUTE(SUBSTITUTE(SUBSTITUTE(SUBSTITUTE(SUBSTITUTE(G$2:G$747,"Rs.",""),"INR",""),"₹",""),"â‚¹",""),"$","")," ",""),"")),
   IFERROR(--SUBSTITUTE(SUBSTITUTE(SUBSTITUTE(SUBSTITUTE(SUBSTITUTE(SUBSTITUTE(TRIM(G432),"Rs.",""),"INR",""),"₹",""),"â‚¹",""),"$","")," ",""),"")
)</f>
        <v>700</v>
      </c>
      <c r="I432" s="1">
        <f t="shared" si="19"/>
        <v>700</v>
      </c>
      <c r="J432" s="1" t="str">
        <f t="shared" si="20"/>
        <v>Nill</v>
      </c>
      <c r="K432" s="1" t="s">
        <v>25</v>
      </c>
      <c r="L432" s="1" t="s">
        <v>167</v>
      </c>
      <c r="M432" s="1" t="s">
        <v>54</v>
      </c>
      <c r="N432"/>
    </row>
    <row r="433" spans="1:14" x14ac:dyDescent="0.25">
      <c r="A433" s="1" t="s">
        <v>777</v>
      </c>
      <c r="B433" s="1" t="s">
        <v>416</v>
      </c>
      <c r="C433" s="5">
        <v>44876</v>
      </c>
      <c r="D433" s="6">
        <f t="shared" si="18"/>
        <v>44876</v>
      </c>
      <c r="E433" s="1" t="s">
        <v>11</v>
      </c>
      <c r="F433" s="1" t="s">
        <v>69</v>
      </c>
      <c r="G433" s="1">
        <v>175</v>
      </c>
      <c r="H433" s="1" cm="1">
        <f t="array" ref="H433">IF(TRIM(G433)="",
   MEDIAN(IFERROR(--SUBSTITUTE(SUBSTITUTE(SUBSTITUTE(SUBSTITUTE(SUBSTITUTE(SUBSTITUTE(G$2:G$747,"Rs.",""),"INR",""),"₹",""),"â‚¹",""),"$","")," ",""),"")),
   IFERROR(--SUBSTITUTE(SUBSTITUTE(SUBSTITUTE(SUBSTITUTE(SUBSTITUTE(SUBSTITUTE(TRIM(G433),"Rs.",""),"INR",""),"₹",""),"â‚¹",""),"$","")," ",""),"")
)</f>
        <v>175</v>
      </c>
      <c r="I433" s="1">
        <f t="shared" si="19"/>
        <v>175</v>
      </c>
      <c r="J433" s="1" t="str">
        <f t="shared" si="20"/>
        <v>Nill</v>
      </c>
      <c r="K433" s="1" t="s">
        <v>25</v>
      </c>
      <c r="L433" s="1" t="s">
        <v>299</v>
      </c>
      <c r="M433" s="1" t="s">
        <v>1253</v>
      </c>
      <c r="N433"/>
    </row>
    <row r="434" spans="1:14" x14ac:dyDescent="0.25">
      <c r="A434" s="1" t="s">
        <v>755</v>
      </c>
      <c r="B434" s="1" t="s">
        <v>24</v>
      </c>
      <c r="C434" s="5">
        <v>45323</v>
      </c>
      <c r="D434" s="6">
        <f t="shared" si="18"/>
        <v>45323</v>
      </c>
      <c r="E434" s="1" t="s">
        <v>20</v>
      </c>
      <c r="F434" s="1" t="s">
        <v>239</v>
      </c>
      <c r="G434" s="1">
        <v>174110</v>
      </c>
      <c r="H434" s="1" cm="1">
        <f t="array" ref="H434">IF(TRIM(G434)="",
   MEDIAN(IFERROR(--SUBSTITUTE(SUBSTITUTE(SUBSTITUTE(SUBSTITUTE(SUBSTITUTE(SUBSTITUTE(G$2:G$747,"Rs.",""),"INR",""),"₹",""),"â‚¹",""),"$","")," ",""),"")),
   IFERROR(--SUBSTITUTE(SUBSTITUTE(SUBSTITUTE(SUBSTITUTE(SUBSTITUTE(SUBSTITUTE(TRIM(G434),"Rs.",""),"INR",""),"₹",""),"â‚¹",""),"$","")," ",""),"")
)</f>
        <v>174110</v>
      </c>
      <c r="I434" s="1" t="str">
        <f t="shared" si="19"/>
        <v>Nill</v>
      </c>
      <c r="J434" s="1">
        <f t="shared" si="20"/>
        <v>174110</v>
      </c>
      <c r="K434" s="1" t="s">
        <v>12</v>
      </c>
      <c r="L434" s="1" t="s">
        <v>40</v>
      </c>
      <c r="M434" s="1" t="s">
        <v>54</v>
      </c>
      <c r="N434"/>
    </row>
    <row r="435" spans="1:14" x14ac:dyDescent="0.25">
      <c r="A435" s="1" t="s">
        <v>1028</v>
      </c>
      <c r="B435" s="1" t="s">
        <v>573</v>
      </c>
      <c r="C435" s="5">
        <v>44543</v>
      </c>
      <c r="D435" s="6">
        <f t="shared" si="18"/>
        <v>44543</v>
      </c>
      <c r="E435" s="1" t="s">
        <v>11</v>
      </c>
      <c r="F435" s="1" t="s">
        <v>69</v>
      </c>
      <c r="G435" s="1">
        <v>2087</v>
      </c>
      <c r="H435" s="1" cm="1">
        <f t="array" ref="H435">IF(TRIM(G435)="",
   MEDIAN(IFERROR(--SUBSTITUTE(SUBSTITUTE(SUBSTITUTE(SUBSTITUTE(SUBSTITUTE(SUBSTITUTE(G$2:G$747,"Rs.",""),"INR",""),"₹",""),"â‚¹",""),"$","")," ",""),"")),
   IFERROR(--SUBSTITUTE(SUBSTITUTE(SUBSTITUTE(SUBSTITUTE(SUBSTITUTE(SUBSTITUTE(TRIM(G435),"Rs.",""),"INR",""),"₹",""),"â‚¹",""),"$","")," ",""),"")
)</f>
        <v>2087</v>
      </c>
      <c r="I435" s="1">
        <f t="shared" si="19"/>
        <v>2087</v>
      </c>
      <c r="J435" s="1" t="str">
        <f t="shared" si="20"/>
        <v>Nill</v>
      </c>
      <c r="K435" s="1" t="s">
        <v>12</v>
      </c>
      <c r="L435" s="1" t="s">
        <v>81</v>
      </c>
      <c r="M435" s="1" t="s">
        <v>1253</v>
      </c>
      <c r="N435"/>
    </row>
    <row r="436" spans="1:14" x14ac:dyDescent="0.25">
      <c r="A436" s="1" t="s">
        <v>1056</v>
      </c>
      <c r="B436" s="1" t="s">
        <v>434</v>
      </c>
      <c r="C436" s="5">
        <v>44309</v>
      </c>
      <c r="D436" s="6">
        <f t="shared" si="18"/>
        <v>44309</v>
      </c>
      <c r="E436" s="1" t="s">
        <v>11</v>
      </c>
      <c r="F436" s="1" t="s">
        <v>85</v>
      </c>
      <c r="G436" s="1" t="s">
        <v>1057</v>
      </c>
      <c r="H436" s="1" cm="1">
        <f t="array" ref="H436">IF(TRIM(G436)="",
   MEDIAN(IFERROR(--SUBSTITUTE(SUBSTITUTE(SUBSTITUTE(SUBSTITUTE(SUBSTITUTE(SUBSTITUTE(G$2:G$747,"Rs.",""),"INR",""),"₹",""),"â‚¹",""),"$","")," ",""),"")),
   IFERROR(--SUBSTITUTE(SUBSTITUTE(SUBSTITUTE(SUBSTITUTE(SUBSTITUTE(SUBSTITUTE(TRIM(G436),"Rs.",""),"INR",""),"₹",""),"â‚¹",""),"$","")," ",""),"")
)</f>
        <v>1945</v>
      </c>
      <c r="I436" s="1">
        <f t="shared" si="19"/>
        <v>1945</v>
      </c>
      <c r="J436" s="1" t="str">
        <f t="shared" si="20"/>
        <v>Nill</v>
      </c>
      <c r="K436" s="1" t="s">
        <v>25</v>
      </c>
      <c r="L436" s="1" t="s">
        <v>198</v>
      </c>
      <c r="M436" s="1" t="s">
        <v>1253</v>
      </c>
      <c r="N436"/>
    </row>
    <row r="437" spans="1:14" x14ac:dyDescent="0.25">
      <c r="A437" s="1" t="s">
        <v>459</v>
      </c>
      <c r="B437" s="1" t="s">
        <v>78</v>
      </c>
      <c r="C437" s="5">
        <v>45595</v>
      </c>
      <c r="D437" s="6">
        <f t="shared" si="18"/>
        <v>45595</v>
      </c>
      <c r="E437" s="1" t="s">
        <v>11</v>
      </c>
      <c r="F437" s="1" t="s">
        <v>158</v>
      </c>
      <c r="G437" s="1">
        <v>9806</v>
      </c>
      <c r="H437" s="1" cm="1">
        <f t="array" ref="H437">IF(TRIM(G437)="",
   MEDIAN(IFERROR(--SUBSTITUTE(SUBSTITUTE(SUBSTITUTE(SUBSTITUTE(SUBSTITUTE(SUBSTITUTE(G$2:G$747,"Rs.",""),"INR",""),"₹",""),"â‚¹",""),"$","")," ",""),"")),
   IFERROR(--SUBSTITUTE(SUBSTITUTE(SUBSTITUTE(SUBSTITUTE(SUBSTITUTE(SUBSTITUTE(TRIM(G437),"Rs.",""),"INR",""),"₹",""),"â‚¹",""),"$","")," ",""),"")
)</f>
        <v>9806</v>
      </c>
      <c r="I437" s="1">
        <f t="shared" si="19"/>
        <v>9806</v>
      </c>
      <c r="J437" s="1" t="str">
        <f t="shared" si="20"/>
        <v>Nill</v>
      </c>
      <c r="K437" s="1" t="s">
        <v>25</v>
      </c>
      <c r="L437" s="1" t="s">
        <v>299</v>
      </c>
      <c r="M437" s="1" t="s">
        <v>210</v>
      </c>
      <c r="N437"/>
    </row>
    <row r="438" spans="1:14" x14ac:dyDescent="0.25">
      <c r="A438" s="1" t="s">
        <v>191</v>
      </c>
      <c r="B438" s="1" t="s">
        <v>46</v>
      </c>
      <c r="C438" s="5">
        <v>45519</v>
      </c>
      <c r="D438" s="6">
        <f t="shared" si="18"/>
        <v>45519</v>
      </c>
      <c r="E438" s="1" t="s">
        <v>20</v>
      </c>
      <c r="F438" s="1" t="s">
        <v>44</v>
      </c>
      <c r="G438" s="1" t="s">
        <v>192</v>
      </c>
      <c r="H438" s="1" cm="1">
        <f t="array" ref="H438">IF(TRIM(G438)="",
   MEDIAN(IFERROR(--SUBSTITUTE(SUBSTITUTE(SUBSTITUTE(SUBSTITUTE(SUBSTITUTE(SUBSTITUTE(G$2:G$747,"Rs.",""),"INR",""),"₹",""),"â‚¹",""),"$","")," ",""),"")),
   IFERROR(--SUBSTITUTE(SUBSTITUTE(SUBSTITUTE(SUBSTITUTE(SUBSTITUTE(SUBSTITUTE(TRIM(G438),"Rs.",""),"INR",""),"₹",""),"â‚¹",""),"$","")," ",""),"")
)</f>
        <v>41573</v>
      </c>
      <c r="I438" s="1" t="str">
        <f t="shared" si="19"/>
        <v>Nill</v>
      </c>
      <c r="J438" s="1">
        <f t="shared" si="20"/>
        <v>41573</v>
      </c>
      <c r="K438" s="1" t="s">
        <v>25</v>
      </c>
      <c r="L438" s="1" t="s">
        <v>198</v>
      </c>
      <c r="M438" s="1" t="s">
        <v>113</v>
      </c>
      <c r="N438"/>
    </row>
    <row r="439" spans="1:14" x14ac:dyDescent="0.25">
      <c r="A439" s="1" t="s">
        <v>646</v>
      </c>
      <c r="B439" s="1" t="s">
        <v>344</v>
      </c>
      <c r="C439" s="5">
        <v>44641</v>
      </c>
      <c r="D439" s="6">
        <f t="shared" si="18"/>
        <v>44641</v>
      </c>
      <c r="E439" s="1" t="s">
        <v>20</v>
      </c>
      <c r="F439" s="1" t="s">
        <v>44</v>
      </c>
      <c r="G439" s="1">
        <v>78532</v>
      </c>
      <c r="H439" s="1" cm="1">
        <f t="array" ref="H439">IF(TRIM(G439)="",
   MEDIAN(IFERROR(--SUBSTITUTE(SUBSTITUTE(SUBSTITUTE(SUBSTITUTE(SUBSTITUTE(SUBSTITUTE(G$2:G$747,"Rs.",""),"INR",""),"₹",""),"â‚¹",""),"$","")," ",""),"")),
   IFERROR(--SUBSTITUTE(SUBSTITUTE(SUBSTITUTE(SUBSTITUTE(SUBSTITUTE(SUBSTITUTE(TRIM(G439),"Rs.",""),"INR",""),"₹",""),"â‚¹",""),"$","")," ",""),"")
)</f>
        <v>78532</v>
      </c>
      <c r="I439" s="1" t="str">
        <f t="shared" si="19"/>
        <v>Nill</v>
      </c>
      <c r="J439" s="1">
        <f t="shared" si="20"/>
        <v>78532</v>
      </c>
      <c r="K439" s="1" t="s">
        <v>25</v>
      </c>
      <c r="L439" s="1" t="s">
        <v>217</v>
      </c>
      <c r="M439" s="1" t="s">
        <v>82</v>
      </c>
      <c r="N439"/>
    </row>
    <row r="440" spans="1:14" x14ac:dyDescent="0.25">
      <c r="A440" s="1" t="s">
        <v>1008</v>
      </c>
      <c r="B440" s="1" t="s">
        <v>222</v>
      </c>
      <c r="C440" s="1" t="s">
        <v>564</v>
      </c>
      <c r="D440" s="6">
        <f t="shared" si="18"/>
        <v>45469</v>
      </c>
      <c r="E440" s="1" t="s">
        <v>11</v>
      </c>
      <c r="F440" s="1" t="s">
        <v>171</v>
      </c>
      <c r="G440" s="1">
        <v>6574</v>
      </c>
      <c r="H440" s="1" cm="1">
        <f t="array" ref="H440">IF(TRIM(G440)="",
   MEDIAN(IFERROR(--SUBSTITUTE(SUBSTITUTE(SUBSTITUTE(SUBSTITUTE(SUBSTITUTE(SUBSTITUTE(G$2:G$747,"Rs.",""),"INR",""),"₹",""),"â‚¹",""),"$","")," ",""),"")),
   IFERROR(--SUBSTITUTE(SUBSTITUTE(SUBSTITUTE(SUBSTITUTE(SUBSTITUTE(SUBSTITUTE(TRIM(G440),"Rs.",""),"INR",""),"₹",""),"â‚¹",""),"$","")," ",""),"")
)</f>
        <v>6574</v>
      </c>
      <c r="I440" s="1">
        <f t="shared" si="19"/>
        <v>6574</v>
      </c>
      <c r="J440" s="1" t="str">
        <f t="shared" si="20"/>
        <v>Nill</v>
      </c>
      <c r="K440" s="1" t="s">
        <v>261</v>
      </c>
      <c r="L440" s="1" t="s">
        <v>40</v>
      </c>
      <c r="M440" s="1" t="s">
        <v>113</v>
      </c>
      <c r="N440"/>
    </row>
    <row r="441" spans="1:14" x14ac:dyDescent="0.25">
      <c r="A441" s="1" t="s">
        <v>1222</v>
      </c>
      <c r="B441" s="1" t="s">
        <v>230</v>
      </c>
      <c r="C441" s="1" t="s">
        <v>1223</v>
      </c>
      <c r="D441" s="6">
        <f t="shared" si="18"/>
        <v>45378</v>
      </c>
      <c r="E441" s="1" t="s">
        <v>20</v>
      </c>
      <c r="F441" s="1" t="s">
        <v>239</v>
      </c>
      <c r="G441" s="1">
        <v>75757</v>
      </c>
      <c r="H441" s="1" cm="1">
        <f t="array" ref="H441">IF(TRIM(G441)="",
   MEDIAN(IFERROR(--SUBSTITUTE(SUBSTITUTE(SUBSTITUTE(SUBSTITUTE(SUBSTITUTE(SUBSTITUTE(G$2:G$747,"Rs.",""),"INR",""),"₹",""),"â‚¹",""),"$","")," ",""),"")),
   IFERROR(--SUBSTITUTE(SUBSTITUTE(SUBSTITUTE(SUBSTITUTE(SUBSTITUTE(SUBSTITUTE(TRIM(G441),"Rs.",""),"INR",""),"₹",""),"â‚¹",""),"$","")," ",""),"")
)</f>
        <v>75757</v>
      </c>
      <c r="I441" s="1" t="str">
        <f t="shared" si="19"/>
        <v>Nill</v>
      </c>
      <c r="J441" s="1">
        <f t="shared" si="20"/>
        <v>75757</v>
      </c>
      <c r="K441" s="1" t="s">
        <v>138</v>
      </c>
      <c r="L441" s="1" t="s">
        <v>299</v>
      </c>
      <c r="M441" s="1" t="s">
        <v>1253</v>
      </c>
      <c r="N441"/>
    </row>
    <row r="442" spans="1:14" x14ac:dyDescent="0.25">
      <c r="A442" s="1" t="s">
        <v>1157</v>
      </c>
      <c r="B442" s="1" t="s">
        <v>274</v>
      </c>
      <c r="C442" s="5">
        <v>44667</v>
      </c>
      <c r="D442" s="6">
        <f t="shared" si="18"/>
        <v>44667</v>
      </c>
      <c r="E442" s="1" t="s">
        <v>11</v>
      </c>
      <c r="F442" s="1" t="s">
        <v>69</v>
      </c>
      <c r="G442" s="1">
        <v>2220</v>
      </c>
      <c r="H442" s="1" cm="1">
        <f t="array" ref="H442">IF(TRIM(G442)="",
   MEDIAN(IFERROR(--SUBSTITUTE(SUBSTITUTE(SUBSTITUTE(SUBSTITUTE(SUBSTITUTE(SUBSTITUTE(G$2:G$747,"Rs.",""),"INR",""),"₹",""),"â‚¹",""),"$","")," ",""),"")),
   IFERROR(--SUBSTITUTE(SUBSTITUTE(SUBSTITUTE(SUBSTITUTE(SUBSTITUTE(SUBSTITUTE(TRIM(G442),"Rs.",""),"INR",""),"₹",""),"â‚¹",""),"$","")," ",""),"")
)</f>
        <v>2220</v>
      </c>
      <c r="I442" s="1">
        <f t="shared" si="19"/>
        <v>2220</v>
      </c>
      <c r="J442" s="1" t="str">
        <f t="shared" si="20"/>
        <v>Nill</v>
      </c>
      <c r="K442" s="1" t="s">
        <v>25</v>
      </c>
      <c r="L442" s="1" t="s">
        <v>198</v>
      </c>
      <c r="M442" s="1" t="s">
        <v>133</v>
      </c>
      <c r="N442"/>
    </row>
    <row r="443" spans="1:14" x14ac:dyDescent="0.25">
      <c r="A443" s="1" t="s">
        <v>623</v>
      </c>
      <c r="B443" s="1" t="s">
        <v>78</v>
      </c>
      <c r="C443" s="5">
        <v>45251</v>
      </c>
      <c r="D443" s="6">
        <f t="shared" si="18"/>
        <v>45251</v>
      </c>
      <c r="E443" s="1" t="s">
        <v>11</v>
      </c>
      <c r="F443" s="1" t="s">
        <v>69</v>
      </c>
      <c r="G443" s="1">
        <v>4265</v>
      </c>
      <c r="H443" s="1" cm="1">
        <f t="array" ref="H443">IF(TRIM(G443)="",
   MEDIAN(IFERROR(--SUBSTITUTE(SUBSTITUTE(SUBSTITUTE(SUBSTITUTE(SUBSTITUTE(SUBSTITUTE(G$2:G$747,"Rs.",""),"INR",""),"₹",""),"â‚¹",""),"$","")," ",""),"")),
   IFERROR(--SUBSTITUTE(SUBSTITUTE(SUBSTITUTE(SUBSTITUTE(SUBSTITUTE(SUBSTITUTE(TRIM(G443),"Rs.",""),"INR",""),"₹",""),"â‚¹",""),"$","")," ",""),"")
)</f>
        <v>4265</v>
      </c>
      <c r="I443" s="1">
        <f t="shared" si="19"/>
        <v>4265</v>
      </c>
      <c r="J443" s="1" t="str">
        <f t="shared" si="20"/>
        <v>Nill</v>
      </c>
      <c r="K443" s="1" t="s">
        <v>87</v>
      </c>
      <c r="L443" s="1" t="s">
        <v>17</v>
      </c>
      <c r="M443" s="1" t="s">
        <v>1253</v>
      </c>
      <c r="N443"/>
    </row>
    <row r="444" spans="1:14" x14ac:dyDescent="0.25">
      <c r="A444" s="1" t="s">
        <v>203</v>
      </c>
      <c r="B444" s="1" t="s">
        <v>28</v>
      </c>
      <c r="C444" s="5">
        <v>45358</v>
      </c>
      <c r="D444" s="6">
        <f t="shared" si="18"/>
        <v>45358</v>
      </c>
      <c r="E444" s="1" t="s">
        <v>11</v>
      </c>
      <c r="F444" s="1" t="s">
        <v>171</v>
      </c>
      <c r="G444" s="1">
        <v>7217</v>
      </c>
      <c r="H444" s="1" cm="1">
        <f t="array" ref="H444">IF(TRIM(G444)="",
   MEDIAN(IFERROR(--SUBSTITUTE(SUBSTITUTE(SUBSTITUTE(SUBSTITUTE(SUBSTITUTE(SUBSTITUTE(G$2:G$747,"Rs.",""),"INR",""),"₹",""),"â‚¹",""),"$","")," ",""),"")),
   IFERROR(--SUBSTITUTE(SUBSTITUTE(SUBSTITUTE(SUBSTITUTE(SUBSTITUTE(SUBSTITUTE(TRIM(G444),"Rs.",""),"INR",""),"₹",""),"â‚¹",""),"$","")," ",""),"")
)</f>
        <v>7217</v>
      </c>
      <c r="I444" s="1">
        <f t="shared" si="19"/>
        <v>7217</v>
      </c>
      <c r="J444" s="1" t="str">
        <f t="shared" si="20"/>
        <v>Nill</v>
      </c>
      <c r="K444" s="1" t="s">
        <v>204</v>
      </c>
      <c r="L444" s="1" t="s">
        <v>127</v>
      </c>
      <c r="M444" s="1" t="s">
        <v>122</v>
      </c>
      <c r="N444"/>
    </row>
    <row r="445" spans="1:14" x14ac:dyDescent="0.25">
      <c r="A445" s="1" t="s">
        <v>635</v>
      </c>
      <c r="B445" s="1" t="s">
        <v>174</v>
      </c>
      <c r="C445" s="5">
        <v>45004</v>
      </c>
      <c r="D445" s="6">
        <f t="shared" si="18"/>
        <v>45004</v>
      </c>
      <c r="E445" s="1" t="s">
        <v>11</v>
      </c>
      <c r="F445" s="1" t="s">
        <v>158</v>
      </c>
      <c r="G445" s="1" t="s">
        <v>636</v>
      </c>
      <c r="H445" s="1" cm="1">
        <f t="array" ref="H445">IF(TRIM(G445)="",
   MEDIAN(IFERROR(--SUBSTITUTE(SUBSTITUTE(SUBSTITUTE(SUBSTITUTE(SUBSTITUTE(SUBSTITUTE(G$2:G$747,"Rs.",""),"INR",""),"₹",""),"â‚¹",""),"$","")," ",""),"")),
   IFERROR(--SUBSTITUTE(SUBSTITUTE(SUBSTITUTE(SUBSTITUTE(SUBSTITUTE(SUBSTITUTE(TRIM(G445),"Rs.",""),"INR",""),"₹",""),"â‚¹",""),"$","")," ",""),"")
)</f>
        <v>1002</v>
      </c>
      <c r="I445" s="1">
        <f t="shared" si="19"/>
        <v>1002</v>
      </c>
      <c r="J445" s="1" t="str">
        <f t="shared" si="20"/>
        <v>Nill</v>
      </c>
      <c r="K445" s="1" t="s">
        <v>25</v>
      </c>
      <c r="L445" s="1" t="s">
        <v>13</v>
      </c>
      <c r="M445" s="1" t="s">
        <v>1253</v>
      </c>
      <c r="N445"/>
    </row>
    <row r="446" spans="1:14" x14ac:dyDescent="0.25">
      <c r="A446" s="1" t="s">
        <v>521</v>
      </c>
      <c r="B446" s="1" t="s">
        <v>522</v>
      </c>
      <c r="C446" s="5">
        <v>44656</v>
      </c>
      <c r="D446" s="6">
        <f t="shared" si="18"/>
        <v>44656</v>
      </c>
      <c r="E446" s="1" t="s">
        <v>11</v>
      </c>
      <c r="F446" s="1" t="s">
        <v>171</v>
      </c>
      <c r="G446" s="1">
        <v>5935</v>
      </c>
      <c r="H446" s="1" cm="1">
        <f t="array" ref="H446">IF(TRIM(G446)="",
   MEDIAN(IFERROR(--SUBSTITUTE(SUBSTITUTE(SUBSTITUTE(SUBSTITUTE(SUBSTITUTE(SUBSTITUTE(G$2:G$747,"Rs.",""),"INR",""),"₹",""),"â‚¹",""),"$","")," ",""),"")),
   IFERROR(--SUBSTITUTE(SUBSTITUTE(SUBSTITUTE(SUBSTITUTE(SUBSTITUTE(SUBSTITUTE(TRIM(G446),"Rs.",""),"INR",""),"₹",""),"â‚¹",""),"$","")," ",""),"")
)</f>
        <v>5935</v>
      </c>
      <c r="I446" s="1">
        <f t="shared" si="19"/>
        <v>5935</v>
      </c>
      <c r="J446" s="1" t="str">
        <f t="shared" si="20"/>
        <v>Nill</v>
      </c>
      <c r="K446" s="1" t="s">
        <v>25</v>
      </c>
      <c r="L446" s="1" t="s">
        <v>17</v>
      </c>
      <c r="M446" s="1" t="s">
        <v>113</v>
      </c>
      <c r="N446"/>
    </row>
    <row r="447" spans="1:14" x14ac:dyDescent="0.25">
      <c r="A447" s="1" t="s">
        <v>954</v>
      </c>
      <c r="B447" s="1" t="s">
        <v>464</v>
      </c>
      <c r="C447" s="5">
        <v>44771</v>
      </c>
      <c r="D447" s="6">
        <f t="shared" si="18"/>
        <v>44771</v>
      </c>
      <c r="E447" s="1" t="s">
        <v>11</v>
      </c>
      <c r="F447" s="1" t="s">
        <v>158</v>
      </c>
      <c r="G447" s="1">
        <v>6714</v>
      </c>
      <c r="H447" s="1" cm="1">
        <f t="array" ref="H447">IF(TRIM(G447)="",
   MEDIAN(IFERROR(--SUBSTITUTE(SUBSTITUTE(SUBSTITUTE(SUBSTITUTE(SUBSTITUTE(SUBSTITUTE(G$2:G$747,"Rs.",""),"INR",""),"₹",""),"â‚¹",""),"$","")," ",""),"")),
   IFERROR(--SUBSTITUTE(SUBSTITUTE(SUBSTITUTE(SUBSTITUTE(SUBSTITUTE(SUBSTITUTE(TRIM(G447),"Rs.",""),"INR",""),"₹",""),"â‚¹",""),"$","")," ",""),"")
)</f>
        <v>6714</v>
      </c>
      <c r="I447" s="1">
        <f t="shared" si="19"/>
        <v>6714</v>
      </c>
      <c r="J447" s="1" t="str">
        <f t="shared" si="20"/>
        <v>Nill</v>
      </c>
      <c r="K447" s="1" t="s">
        <v>75</v>
      </c>
      <c r="L447" s="1" t="s">
        <v>17</v>
      </c>
      <c r="M447" s="1" t="s">
        <v>1253</v>
      </c>
      <c r="N447"/>
    </row>
    <row r="448" spans="1:14" x14ac:dyDescent="0.25">
      <c r="A448" s="1" t="s">
        <v>607</v>
      </c>
      <c r="B448" s="1" t="s">
        <v>608</v>
      </c>
      <c r="C448" s="5">
        <v>45569</v>
      </c>
      <c r="D448" s="6">
        <f t="shared" si="18"/>
        <v>45569</v>
      </c>
      <c r="E448" s="1" t="s">
        <v>11</v>
      </c>
      <c r="F448" s="1" t="s">
        <v>171</v>
      </c>
      <c r="G448" s="1">
        <v>287</v>
      </c>
      <c r="H448" s="1" cm="1">
        <f t="array" ref="H448">IF(TRIM(G448)="",
   MEDIAN(IFERROR(--SUBSTITUTE(SUBSTITUTE(SUBSTITUTE(SUBSTITUTE(SUBSTITUTE(SUBSTITUTE(G$2:G$747,"Rs.",""),"INR",""),"₹",""),"â‚¹",""),"$","")," ",""),"")),
   IFERROR(--SUBSTITUTE(SUBSTITUTE(SUBSTITUTE(SUBSTITUTE(SUBSTITUTE(SUBSTITUTE(TRIM(G448),"Rs.",""),"INR",""),"₹",""),"â‚¹",""),"$","")," ",""),"")
)</f>
        <v>287</v>
      </c>
      <c r="I448" s="1">
        <f t="shared" si="19"/>
        <v>287</v>
      </c>
      <c r="J448" s="1" t="str">
        <f t="shared" si="20"/>
        <v>Nill</v>
      </c>
      <c r="K448" s="1" t="s">
        <v>31</v>
      </c>
      <c r="L448" s="1" t="s">
        <v>17</v>
      </c>
      <c r="M448" s="1" t="s">
        <v>70</v>
      </c>
      <c r="N448"/>
    </row>
    <row r="449" spans="1:14" x14ac:dyDescent="0.25">
      <c r="A449" s="1" t="s">
        <v>439</v>
      </c>
      <c r="B449" s="1" t="s">
        <v>130</v>
      </c>
      <c r="C449" s="1" t="s">
        <v>440</v>
      </c>
      <c r="D449" s="6">
        <f t="shared" si="18"/>
        <v>45260</v>
      </c>
      <c r="E449" s="1" t="s">
        <v>11</v>
      </c>
      <c r="F449" s="1" t="s">
        <v>69</v>
      </c>
      <c r="G449" s="1">
        <v>5022</v>
      </c>
      <c r="H449" s="1" cm="1">
        <f t="array" ref="H449">IF(TRIM(G449)="",
   MEDIAN(IFERROR(--SUBSTITUTE(SUBSTITUTE(SUBSTITUTE(SUBSTITUTE(SUBSTITUTE(SUBSTITUTE(G$2:G$747,"Rs.",""),"INR",""),"₹",""),"â‚¹",""),"$","")," ",""),"")),
   IFERROR(--SUBSTITUTE(SUBSTITUTE(SUBSTITUTE(SUBSTITUTE(SUBSTITUTE(SUBSTITUTE(TRIM(G449),"Rs.",""),"INR",""),"₹",""),"â‚¹",""),"$","")," ",""),"")
)</f>
        <v>5022</v>
      </c>
      <c r="I449" s="1">
        <f t="shared" si="19"/>
        <v>5022</v>
      </c>
      <c r="J449" s="1" t="str">
        <f t="shared" si="20"/>
        <v>Nill</v>
      </c>
      <c r="K449" s="1" t="s">
        <v>138</v>
      </c>
      <c r="L449" s="1" t="s">
        <v>17</v>
      </c>
      <c r="M449" s="1" t="s">
        <v>122</v>
      </c>
      <c r="N449"/>
    </row>
    <row r="450" spans="1:14" x14ac:dyDescent="0.25">
      <c r="A450" s="1" t="s">
        <v>927</v>
      </c>
      <c r="B450" s="1" t="s">
        <v>484</v>
      </c>
      <c r="C450" s="5">
        <v>45150</v>
      </c>
      <c r="D450" s="6">
        <f t="shared" ref="D450:D513" si="21">IF(ISBLANK(C450),("unknown"),IF(ISNUMBER(C450),C450,DATE(RIGHT(C450,4),LEFT(C450,2),MID(C450,4,2))))</f>
        <v>45150</v>
      </c>
      <c r="E450" s="1" t="s">
        <v>11</v>
      </c>
      <c r="F450" s="1" t="s">
        <v>85</v>
      </c>
      <c r="G450" s="1">
        <v>9222</v>
      </c>
      <c r="H450" s="1" cm="1">
        <f t="array" ref="H450">IF(TRIM(G450)="",
   MEDIAN(IFERROR(--SUBSTITUTE(SUBSTITUTE(SUBSTITUTE(SUBSTITUTE(SUBSTITUTE(SUBSTITUTE(G$2:G$747,"Rs.",""),"INR",""),"₹",""),"â‚¹",""),"$","")," ",""),"")),
   IFERROR(--SUBSTITUTE(SUBSTITUTE(SUBSTITUTE(SUBSTITUTE(SUBSTITUTE(SUBSTITUTE(TRIM(G450),"Rs.",""),"INR",""),"₹",""),"â‚¹",""),"$","")," ",""),"")
)</f>
        <v>9222</v>
      </c>
      <c r="I450" s="1">
        <f t="shared" ref="I450:I513" si="22">IF(E450="Expense",H450,"Nill")</f>
        <v>9222</v>
      </c>
      <c r="J450" s="1" t="str">
        <f t="shared" ref="J450:J513" si="23">IF(E450="Income",H450,"Nill")</f>
        <v>Nill</v>
      </c>
      <c r="K450" s="1" t="s">
        <v>110</v>
      </c>
      <c r="L450" s="1" t="s">
        <v>299</v>
      </c>
      <c r="M450" s="1" t="s">
        <v>1253</v>
      </c>
      <c r="N450"/>
    </row>
    <row r="451" spans="1:14" x14ac:dyDescent="0.25">
      <c r="A451" s="1" t="s">
        <v>653</v>
      </c>
      <c r="B451" s="1" t="s">
        <v>99</v>
      </c>
      <c r="C451" s="1" t="s">
        <v>654</v>
      </c>
      <c r="D451" s="6">
        <f t="shared" si="21"/>
        <v>44672</v>
      </c>
      <c r="E451" s="1" t="s">
        <v>11</v>
      </c>
      <c r="F451" s="1" t="s">
        <v>69</v>
      </c>
      <c r="G451" s="1">
        <v>4895</v>
      </c>
      <c r="H451" s="1" cm="1">
        <f t="array" ref="H451">IF(TRIM(G451)="",
   MEDIAN(IFERROR(--SUBSTITUTE(SUBSTITUTE(SUBSTITUTE(SUBSTITUTE(SUBSTITUTE(SUBSTITUTE(G$2:G$747,"Rs.",""),"INR",""),"₹",""),"â‚¹",""),"$","")," ",""),"")),
   IFERROR(--SUBSTITUTE(SUBSTITUTE(SUBSTITUTE(SUBSTITUTE(SUBSTITUTE(SUBSTITUTE(TRIM(G451),"Rs.",""),"INR",""),"₹",""),"â‚¹",""),"$","")," ",""),"")
)</f>
        <v>4895</v>
      </c>
      <c r="I451" s="1">
        <f t="shared" si="22"/>
        <v>4895</v>
      </c>
      <c r="J451" s="1" t="str">
        <f t="shared" si="23"/>
        <v>Nill</v>
      </c>
      <c r="K451" s="1" t="s">
        <v>87</v>
      </c>
      <c r="L451" s="1" t="s">
        <v>13</v>
      </c>
      <c r="M451" s="1" t="s">
        <v>252</v>
      </c>
      <c r="N451"/>
    </row>
    <row r="452" spans="1:14" x14ac:dyDescent="0.25">
      <c r="A452" s="1" t="s">
        <v>1231</v>
      </c>
      <c r="B452" s="1" t="s">
        <v>293</v>
      </c>
      <c r="C452" s="5">
        <v>45316</v>
      </c>
      <c r="D452" s="6">
        <f t="shared" si="21"/>
        <v>45316</v>
      </c>
      <c r="E452" s="1" t="s">
        <v>11</v>
      </c>
      <c r="F452" s="1" t="s">
        <v>171</v>
      </c>
      <c r="G452" s="1">
        <v>36568</v>
      </c>
      <c r="H452" s="1" cm="1">
        <f t="array" ref="H452">IF(TRIM(G452)="",
   MEDIAN(IFERROR(--SUBSTITUTE(SUBSTITUTE(SUBSTITUTE(SUBSTITUTE(SUBSTITUTE(SUBSTITUTE(G$2:G$747,"Rs.",""),"INR",""),"₹",""),"â‚¹",""),"$","")," ",""),"")),
   IFERROR(--SUBSTITUTE(SUBSTITUTE(SUBSTITUTE(SUBSTITUTE(SUBSTITUTE(SUBSTITUTE(TRIM(G452),"Rs.",""),"INR",""),"₹",""),"â‚¹",""),"$","")," ",""),"")
)</f>
        <v>36568</v>
      </c>
      <c r="I452" s="1">
        <f t="shared" si="22"/>
        <v>36568</v>
      </c>
      <c r="J452" s="1" t="str">
        <f t="shared" si="23"/>
        <v>Nill</v>
      </c>
      <c r="K452" s="1" t="s">
        <v>204</v>
      </c>
      <c r="L452" s="1" t="s">
        <v>167</v>
      </c>
      <c r="M452" s="1" t="s">
        <v>82</v>
      </c>
      <c r="N452"/>
    </row>
    <row r="453" spans="1:14" x14ac:dyDescent="0.25">
      <c r="A453" s="1" t="s">
        <v>831</v>
      </c>
      <c r="B453" s="1" t="s">
        <v>551</v>
      </c>
      <c r="C453" s="5">
        <v>45591</v>
      </c>
      <c r="D453" s="6">
        <f t="shared" si="21"/>
        <v>45591</v>
      </c>
      <c r="E453" s="1" t="s">
        <v>11</v>
      </c>
      <c r="F453" s="1" t="s">
        <v>832</v>
      </c>
      <c r="G453" s="1">
        <v>2163</v>
      </c>
      <c r="H453" s="1" cm="1">
        <f t="array" ref="H453">IF(TRIM(G453)="",
   MEDIAN(IFERROR(--SUBSTITUTE(SUBSTITUTE(SUBSTITUTE(SUBSTITUTE(SUBSTITUTE(SUBSTITUTE(G$2:G$747,"Rs.",""),"INR",""),"₹",""),"â‚¹",""),"$","")," ",""),"")),
   IFERROR(--SUBSTITUTE(SUBSTITUTE(SUBSTITUTE(SUBSTITUTE(SUBSTITUTE(SUBSTITUTE(TRIM(G453),"Rs.",""),"INR",""),"₹",""),"â‚¹",""),"$","")," ",""),"")
)</f>
        <v>2163</v>
      </c>
      <c r="I453" s="1">
        <f t="shared" si="22"/>
        <v>2163</v>
      </c>
      <c r="J453" s="1" t="str">
        <f t="shared" si="23"/>
        <v>Nill</v>
      </c>
      <c r="K453" s="1" t="s">
        <v>12</v>
      </c>
      <c r="L453" s="1" t="s">
        <v>299</v>
      </c>
      <c r="M453" s="1" t="s">
        <v>41</v>
      </c>
      <c r="N453"/>
    </row>
    <row r="454" spans="1:14" x14ac:dyDescent="0.25">
      <c r="A454" s="1" t="s">
        <v>1131</v>
      </c>
      <c r="B454" s="1" t="s">
        <v>359</v>
      </c>
      <c r="C454" s="5">
        <v>44234</v>
      </c>
      <c r="D454" s="6">
        <f t="shared" si="21"/>
        <v>44234</v>
      </c>
      <c r="E454" s="1" t="s">
        <v>20</v>
      </c>
      <c r="F454" s="1" t="s">
        <v>239</v>
      </c>
      <c r="G454" s="1">
        <v>222939</v>
      </c>
      <c r="H454" s="1" cm="1">
        <f t="array" ref="H454">IF(TRIM(G454)="",
   MEDIAN(IFERROR(--SUBSTITUTE(SUBSTITUTE(SUBSTITUTE(SUBSTITUTE(SUBSTITUTE(SUBSTITUTE(G$2:G$747,"Rs.",""),"INR",""),"₹",""),"â‚¹",""),"$","")," ",""),"")),
   IFERROR(--SUBSTITUTE(SUBSTITUTE(SUBSTITUTE(SUBSTITUTE(SUBSTITUTE(SUBSTITUTE(TRIM(G454),"Rs.",""),"INR",""),"₹",""),"â‚¹",""),"$","")," ",""),"")
)</f>
        <v>222939</v>
      </c>
      <c r="I454" s="1" t="str">
        <f t="shared" si="22"/>
        <v>Nill</v>
      </c>
      <c r="J454" s="1">
        <f t="shared" si="23"/>
        <v>222939</v>
      </c>
      <c r="K454" s="1" t="s">
        <v>25</v>
      </c>
      <c r="L454" s="1" t="s">
        <v>127</v>
      </c>
      <c r="M454" s="1" t="s">
        <v>54</v>
      </c>
      <c r="N454"/>
    </row>
    <row r="455" spans="1:14" x14ac:dyDescent="0.25">
      <c r="A455" s="1" t="s">
        <v>959</v>
      </c>
      <c r="B455" s="1" t="s">
        <v>94</v>
      </c>
      <c r="C455" s="5">
        <v>44748</v>
      </c>
      <c r="D455" s="6">
        <f t="shared" si="21"/>
        <v>44748</v>
      </c>
      <c r="E455" s="1" t="s">
        <v>11</v>
      </c>
      <c r="F455" s="1" t="s">
        <v>85</v>
      </c>
      <c r="G455" s="1">
        <v>6170</v>
      </c>
      <c r="H455" s="1" cm="1">
        <f t="array" ref="H455">IF(TRIM(G455)="",
   MEDIAN(IFERROR(--SUBSTITUTE(SUBSTITUTE(SUBSTITUTE(SUBSTITUTE(SUBSTITUTE(SUBSTITUTE(G$2:G$747,"Rs.",""),"INR",""),"₹",""),"â‚¹",""),"$","")," ",""),"")),
   IFERROR(--SUBSTITUTE(SUBSTITUTE(SUBSTITUTE(SUBSTITUTE(SUBSTITUTE(SUBSTITUTE(TRIM(G455),"Rs.",""),"INR",""),"₹",""),"â‚¹",""),"$","")," ",""),"")
)</f>
        <v>6170</v>
      </c>
      <c r="I455" s="1">
        <f t="shared" si="22"/>
        <v>6170</v>
      </c>
      <c r="J455" s="1" t="str">
        <f t="shared" si="23"/>
        <v>Nill</v>
      </c>
      <c r="K455" s="1" t="s">
        <v>12</v>
      </c>
      <c r="L455" s="1" t="s">
        <v>81</v>
      </c>
      <c r="M455" s="1" t="s">
        <v>1253</v>
      </c>
      <c r="N455"/>
    </row>
    <row r="456" spans="1:14" x14ac:dyDescent="0.25">
      <c r="A456" s="1" t="s">
        <v>36</v>
      </c>
      <c r="B456" s="1" t="s">
        <v>37</v>
      </c>
      <c r="C456" s="1" t="s">
        <v>38</v>
      </c>
      <c r="D456" s="6">
        <f t="shared" si="21"/>
        <v>44789</v>
      </c>
      <c r="E456" s="1" t="s">
        <v>11</v>
      </c>
      <c r="F456" s="1" t="s">
        <v>158</v>
      </c>
      <c r="G456" s="1" t="s">
        <v>39</v>
      </c>
      <c r="H456" s="1" cm="1">
        <f t="array" ref="H456">IF(TRIM(G456)="",
   MEDIAN(IFERROR(--SUBSTITUTE(SUBSTITUTE(SUBSTITUTE(SUBSTITUTE(SUBSTITUTE(SUBSTITUTE(G$2:G$747,"Rs.",""),"INR",""),"₹",""),"â‚¹",""),"$","")," ",""),"")),
   IFERROR(--SUBSTITUTE(SUBSTITUTE(SUBSTITUTE(SUBSTITUTE(SUBSTITUTE(SUBSTITUTE(TRIM(G456),"Rs.",""),"INR",""),"₹",""),"â‚¹",""),"$","")," ",""),"")
)</f>
        <v>828</v>
      </c>
      <c r="I456" s="1">
        <f t="shared" si="22"/>
        <v>828</v>
      </c>
      <c r="J456" s="1" t="str">
        <f t="shared" si="23"/>
        <v>Nill</v>
      </c>
      <c r="K456" s="1" t="s">
        <v>12</v>
      </c>
      <c r="L456" s="1" t="s">
        <v>40</v>
      </c>
      <c r="M456" s="1" t="s">
        <v>41</v>
      </c>
      <c r="N456"/>
    </row>
    <row r="457" spans="1:14" x14ac:dyDescent="0.25">
      <c r="A457" s="1" t="s">
        <v>655</v>
      </c>
      <c r="B457" s="1" t="s">
        <v>288</v>
      </c>
      <c r="C457" s="5">
        <v>45322</v>
      </c>
      <c r="D457" s="6">
        <f t="shared" si="21"/>
        <v>45322</v>
      </c>
      <c r="E457" s="1" t="s">
        <v>20</v>
      </c>
      <c r="F457" s="1" t="s">
        <v>239</v>
      </c>
      <c r="G457" s="1">
        <v>21355</v>
      </c>
      <c r="H457" s="1" cm="1">
        <f t="array" ref="H457">IF(TRIM(G457)="",
   MEDIAN(IFERROR(--SUBSTITUTE(SUBSTITUTE(SUBSTITUTE(SUBSTITUTE(SUBSTITUTE(SUBSTITUTE(G$2:G$747,"Rs.",""),"INR",""),"₹",""),"â‚¹",""),"$","")," ",""),"")),
   IFERROR(--SUBSTITUTE(SUBSTITUTE(SUBSTITUTE(SUBSTITUTE(SUBSTITUTE(SUBSTITUTE(TRIM(G457),"Rs.",""),"INR",""),"₹",""),"â‚¹",""),"$","")," ",""),"")
)</f>
        <v>21355</v>
      </c>
      <c r="I457" s="1" t="str">
        <f t="shared" si="22"/>
        <v>Nill</v>
      </c>
      <c r="J457" s="1">
        <f t="shared" si="23"/>
        <v>21355</v>
      </c>
      <c r="K457" s="1" t="s">
        <v>25</v>
      </c>
      <c r="L457" s="1" t="s">
        <v>97</v>
      </c>
      <c r="M457" s="1" t="s">
        <v>190</v>
      </c>
      <c r="N457"/>
    </row>
    <row r="458" spans="1:14" x14ac:dyDescent="0.25">
      <c r="A458" s="1" t="s">
        <v>984</v>
      </c>
      <c r="B458" s="1" t="s">
        <v>145</v>
      </c>
      <c r="C458" s="5">
        <v>45118</v>
      </c>
      <c r="D458" s="6">
        <f t="shared" si="21"/>
        <v>45118</v>
      </c>
      <c r="E458" s="1" t="s">
        <v>11</v>
      </c>
      <c r="F458" s="1" t="s">
        <v>85</v>
      </c>
      <c r="G458" s="1" t="s">
        <v>985</v>
      </c>
      <c r="H458" s="1" cm="1">
        <f t="array" ref="H458">IF(TRIM(G458)="",
   MEDIAN(IFERROR(--SUBSTITUTE(SUBSTITUTE(SUBSTITUTE(SUBSTITUTE(SUBSTITUTE(SUBSTITUTE(G$2:G$747,"Rs.",""),"INR",""),"₹",""),"â‚¹",""),"$","")," ",""),"")),
   IFERROR(--SUBSTITUTE(SUBSTITUTE(SUBSTITUTE(SUBSTITUTE(SUBSTITUTE(SUBSTITUTE(TRIM(G458),"Rs.",""),"INR",""),"₹",""),"â‚¹",""),"$","")," ",""),"")
)</f>
        <v>1259</v>
      </c>
      <c r="I458" s="1">
        <f t="shared" si="22"/>
        <v>1259</v>
      </c>
      <c r="J458" s="1" t="str">
        <f t="shared" si="23"/>
        <v>Nill</v>
      </c>
      <c r="K458" s="1" t="s">
        <v>12</v>
      </c>
      <c r="L458" s="1" t="s">
        <v>167</v>
      </c>
      <c r="M458" s="1" t="s">
        <v>241</v>
      </c>
      <c r="N458"/>
    </row>
    <row r="459" spans="1:14" x14ac:dyDescent="0.25">
      <c r="A459" s="1" t="s">
        <v>625</v>
      </c>
      <c r="B459" s="1" t="s">
        <v>626</v>
      </c>
      <c r="C459" s="5">
        <v>45433</v>
      </c>
      <c r="D459" s="6">
        <f t="shared" si="21"/>
        <v>45433</v>
      </c>
      <c r="E459" s="1" t="s">
        <v>11</v>
      </c>
      <c r="F459" s="1" t="s">
        <v>30</v>
      </c>
      <c r="G459" s="1">
        <v>1006</v>
      </c>
      <c r="H459" s="1" cm="1">
        <f t="array" ref="H459">IF(TRIM(G459)="",
   MEDIAN(IFERROR(--SUBSTITUTE(SUBSTITUTE(SUBSTITUTE(SUBSTITUTE(SUBSTITUTE(SUBSTITUTE(G$2:G$747,"Rs.",""),"INR",""),"₹",""),"â‚¹",""),"$","")," ",""),"")),
   IFERROR(--SUBSTITUTE(SUBSTITUTE(SUBSTITUTE(SUBSTITUTE(SUBSTITUTE(SUBSTITUTE(TRIM(G459),"Rs.",""),"INR",""),"₹",""),"â‚¹",""),"$","")," ",""),"")
)</f>
        <v>1006</v>
      </c>
      <c r="I459" s="1">
        <f t="shared" si="22"/>
        <v>1006</v>
      </c>
      <c r="J459" s="1" t="str">
        <f t="shared" si="23"/>
        <v>Nill</v>
      </c>
      <c r="K459" s="1" t="s">
        <v>172</v>
      </c>
      <c r="L459" s="1" t="s">
        <v>17</v>
      </c>
      <c r="M459" s="1" t="s">
        <v>179</v>
      </c>
      <c r="N459"/>
    </row>
    <row r="460" spans="1:14" x14ac:dyDescent="0.25">
      <c r="A460" s="1" t="s">
        <v>949</v>
      </c>
      <c r="B460" s="1" t="s">
        <v>19</v>
      </c>
      <c r="C460" s="5">
        <v>44690</v>
      </c>
      <c r="D460" s="6">
        <f t="shared" si="21"/>
        <v>44690</v>
      </c>
      <c r="E460" s="1" t="s">
        <v>11</v>
      </c>
      <c r="F460" s="1" t="s">
        <v>249</v>
      </c>
      <c r="G460" s="1">
        <v>1980</v>
      </c>
      <c r="H460" s="1" cm="1">
        <f t="array" ref="H460">IF(TRIM(G460)="",
   MEDIAN(IFERROR(--SUBSTITUTE(SUBSTITUTE(SUBSTITUTE(SUBSTITUTE(SUBSTITUTE(SUBSTITUTE(G$2:G$747,"Rs.",""),"INR",""),"₹",""),"â‚¹",""),"$","")," ",""),"")),
   IFERROR(--SUBSTITUTE(SUBSTITUTE(SUBSTITUTE(SUBSTITUTE(SUBSTITUTE(SUBSTITUTE(TRIM(G460),"Rs.",""),"INR",""),"₹",""),"â‚¹",""),"$","")," ",""),"")
)</f>
        <v>1980</v>
      </c>
      <c r="I460" s="1">
        <f t="shared" si="22"/>
        <v>1980</v>
      </c>
      <c r="J460" s="1" t="str">
        <f t="shared" si="23"/>
        <v>Nill</v>
      </c>
      <c r="K460" s="1" t="s">
        <v>138</v>
      </c>
      <c r="L460" s="1" t="s">
        <v>97</v>
      </c>
      <c r="M460" s="1" t="s">
        <v>255</v>
      </c>
      <c r="N460"/>
    </row>
    <row r="461" spans="1:14" x14ac:dyDescent="0.25">
      <c r="A461" s="1" t="s">
        <v>394</v>
      </c>
      <c r="B461" s="1" t="s">
        <v>90</v>
      </c>
      <c r="C461" s="5">
        <v>45027</v>
      </c>
      <c r="D461" s="6">
        <f t="shared" si="21"/>
        <v>45027</v>
      </c>
      <c r="E461" s="1" t="s">
        <v>11</v>
      </c>
      <c r="F461" s="1" t="s">
        <v>249</v>
      </c>
      <c r="G461" s="1" t="s">
        <v>395</v>
      </c>
      <c r="H461" s="1" cm="1">
        <f t="array" ref="H461">IF(TRIM(G461)="",
   MEDIAN(IFERROR(--SUBSTITUTE(SUBSTITUTE(SUBSTITUTE(SUBSTITUTE(SUBSTITUTE(SUBSTITUTE(G$2:G$747,"Rs.",""),"INR",""),"₹",""),"â‚¹",""),"$","")," ",""),"")),
   IFERROR(--SUBSTITUTE(SUBSTITUTE(SUBSTITUTE(SUBSTITUTE(SUBSTITUTE(SUBSTITUTE(TRIM(G461),"Rs.",""),"INR",""),"₹",""),"â‚¹",""),"$","")," ",""),"")
)</f>
        <v>6316</v>
      </c>
      <c r="I461" s="1">
        <f t="shared" si="22"/>
        <v>6316</v>
      </c>
      <c r="J461" s="1" t="str">
        <f t="shared" si="23"/>
        <v>Nill</v>
      </c>
      <c r="K461" s="1" t="s">
        <v>87</v>
      </c>
      <c r="L461" s="1" t="s">
        <v>167</v>
      </c>
      <c r="M461" s="1" t="s">
        <v>76</v>
      </c>
      <c r="N461"/>
    </row>
    <row r="462" spans="1:14" x14ac:dyDescent="0.25">
      <c r="A462" s="1" t="s">
        <v>1163</v>
      </c>
      <c r="B462" s="1" t="s">
        <v>626</v>
      </c>
      <c r="C462" s="5">
        <v>44630</v>
      </c>
      <c r="D462" s="6">
        <f t="shared" si="21"/>
        <v>44630</v>
      </c>
      <c r="E462" s="1" t="s">
        <v>11</v>
      </c>
      <c r="F462" s="1" t="s">
        <v>69</v>
      </c>
      <c r="G462" s="1" t="s">
        <v>1164</v>
      </c>
      <c r="H462" s="1" cm="1">
        <f t="array" ref="H462">IF(TRIM(G462)="",
   MEDIAN(IFERROR(--SUBSTITUTE(SUBSTITUTE(SUBSTITUTE(SUBSTITUTE(SUBSTITUTE(SUBSTITUTE(G$2:G$747,"Rs.",""),"INR",""),"₹",""),"â‚¹",""),"$","")," ",""),"")),
   IFERROR(--SUBSTITUTE(SUBSTITUTE(SUBSTITUTE(SUBSTITUTE(SUBSTITUTE(SUBSTITUTE(TRIM(G462),"Rs.",""),"INR",""),"₹",""),"â‚¹",""),"$","")," ",""),"")
)</f>
        <v>3207</v>
      </c>
      <c r="I462" s="1">
        <f t="shared" si="22"/>
        <v>3207</v>
      </c>
      <c r="J462" s="1" t="str">
        <f t="shared" si="23"/>
        <v>Nill</v>
      </c>
      <c r="K462" s="1" t="s">
        <v>25</v>
      </c>
      <c r="L462" s="1" t="s">
        <v>127</v>
      </c>
      <c r="M462" s="1" t="s">
        <v>49</v>
      </c>
      <c r="N462"/>
    </row>
    <row r="463" spans="1:14" x14ac:dyDescent="0.25">
      <c r="A463" s="1" t="s">
        <v>316</v>
      </c>
      <c r="B463" s="1" t="s">
        <v>148</v>
      </c>
      <c r="C463" s="5">
        <v>44800</v>
      </c>
      <c r="D463" s="6">
        <f t="shared" si="21"/>
        <v>44800</v>
      </c>
      <c r="E463" s="1" t="s">
        <v>11</v>
      </c>
      <c r="F463" s="1" t="s">
        <v>85</v>
      </c>
      <c r="G463" s="1" t="s">
        <v>317</v>
      </c>
      <c r="H463" s="1" cm="1">
        <f t="array" ref="H463">IF(TRIM(G463)="",
   MEDIAN(IFERROR(--SUBSTITUTE(SUBSTITUTE(SUBSTITUTE(SUBSTITUTE(SUBSTITUTE(SUBSTITUTE(G$2:G$747,"Rs.",""),"INR",""),"₹",""),"â‚¹",""),"$","")," ",""),"")),
   IFERROR(--SUBSTITUTE(SUBSTITUTE(SUBSTITUTE(SUBSTITUTE(SUBSTITUTE(SUBSTITUTE(TRIM(G463),"Rs.",""),"INR",""),"₹",""),"â‚¹",""),"$","")," ",""),"")
)</f>
        <v>4427</v>
      </c>
      <c r="I463" s="1">
        <f t="shared" si="22"/>
        <v>4427</v>
      </c>
      <c r="J463" s="1" t="str">
        <f t="shared" si="23"/>
        <v>Nill</v>
      </c>
      <c r="K463" s="1" t="s">
        <v>110</v>
      </c>
      <c r="L463" s="1" t="s">
        <v>299</v>
      </c>
      <c r="M463" s="1" t="s">
        <v>54</v>
      </c>
      <c r="N463"/>
    </row>
    <row r="464" spans="1:14" x14ac:dyDescent="0.25">
      <c r="A464" s="1" t="s">
        <v>258</v>
      </c>
      <c r="B464" s="1" t="s">
        <v>259</v>
      </c>
      <c r="C464" s="5">
        <v>45115</v>
      </c>
      <c r="D464" s="6">
        <f t="shared" si="21"/>
        <v>45115</v>
      </c>
      <c r="E464" s="1" t="s">
        <v>20</v>
      </c>
      <c r="F464" s="1" t="s">
        <v>112</v>
      </c>
      <c r="G464" s="1" t="s">
        <v>260</v>
      </c>
      <c r="H464" s="1" cm="1">
        <f t="array" ref="H464">IF(TRIM(G464)="",
   MEDIAN(IFERROR(--SUBSTITUTE(SUBSTITUTE(SUBSTITUTE(SUBSTITUTE(SUBSTITUTE(SUBSTITUTE(G$2:G$747,"Rs.",""),"INR",""),"₹",""),"â‚¹",""),"$","")," ",""),"")),
   IFERROR(--SUBSTITUTE(SUBSTITUTE(SUBSTITUTE(SUBSTITUTE(SUBSTITUTE(SUBSTITUTE(TRIM(G464),"Rs.",""),"INR",""),"₹",""),"â‚¹",""),"$","")," ",""),"")
)</f>
        <v>32146</v>
      </c>
      <c r="I464" s="1" t="str">
        <f t="shared" si="22"/>
        <v>Nill</v>
      </c>
      <c r="J464" s="1">
        <f t="shared" si="23"/>
        <v>32146</v>
      </c>
      <c r="K464" s="1" t="s">
        <v>261</v>
      </c>
      <c r="L464" s="1" t="s">
        <v>127</v>
      </c>
      <c r="M464" s="1" t="s">
        <v>76</v>
      </c>
      <c r="N464"/>
    </row>
    <row r="465" spans="1:14" x14ac:dyDescent="0.25">
      <c r="A465" s="1" t="s">
        <v>311</v>
      </c>
      <c r="B465" s="1" t="s">
        <v>108</v>
      </c>
      <c r="C465" s="1" t="s">
        <v>312</v>
      </c>
      <c r="D465" s="6">
        <f t="shared" si="21"/>
        <v>45456</v>
      </c>
      <c r="E465" s="1" t="s">
        <v>11</v>
      </c>
      <c r="F465" s="1" t="s">
        <v>465</v>
      </c>
      <c r="G465" s="1">
        <v>3150</v>
      </c>
      <c r="H465" s="1" cm="1">
        <f t="array" ref="H465">IF(TRIM(G465)="",
   MEDIAN(IFERROR(--SUBSTITUTE(SUBSTITUTE(SUBSTITUTE(SUBSTITUTE(SUBSTITUTE(SUBSTITUTE(G$2:G$747,"Rs.",""),"INR",""),"₹",""),"â‚¹",""),"$","")," ",""),"")),
   IFERROR(--SUBSTITUTE(SUBSTITUTE(SUBSTITUTE(SUBSTITUTE(SUBSTITUTE(SUBSTITUTE(TRIM(G465),"Rs.",""),"INR",""),"₹",""),"â‚¹",""),"$","")," ",""),"")
)</f>
        <v>3150</v>
      </c>
      <c r="I465" s="1">
        <f t="shared" si="22"/>
        <v>3150</v>
      </c>
      <c r="J465" s="1" t="str">
        <f t="shared" si="23"/>
        <v>Nill</v>
      </c>
      <c r="K465" s="1" t="s">
        <v>87</v>
      </c>
      <c r="L465" s="1" t="s">
        <v>97</v>
      </c>
      <c r="M465" s="1" t="s">
        <v>1253</v>
      </c>
      <c r="N465"/>
    </row>
    <row r="466" spans="1:14" x14ac:dyDescent="0.25">
      <c r="A466" s="1" t="s">
        <v>753</v>
      </c>
      <c r="B466" s="1" t="s">
        <v>58</v>
      </c>
      <c r="C466" s="1" t="s">
        <v>754</v>
      </c>
      <c r="D466" s="6">
        <f t="shared" si="21"/>
        <v>45442</v>
      </c>
      <c r="E466" s="1" t="s">
        <v>11</v>
      </c>
      <c r="F466" s="1" t="s">
        <v>171</v>
      </c>
      <c r="G466" s="1">
        <v>46284</v>
      </c>
      <c r="H466" s="1" cm="1">
        <f t="array" ref="H466">IF(TRIM(G466)="",
   MEDIAN(IFERROR(--SUBSTITUTE(SUBSTITUTE(SUBSTITUTE(SUBSTITUTE(SUBSTITUTE(SUBSTITUTE(G$2:G$747,"Rs.",""),"INR",""),"₹",""),"â‚¹",""),"$","")," ",""),"")),
   IFERROR(--SUBSTITUTE(SUBSTITUTE(SUBSTITUTE(SUBSTITUTE(SUBSTITUTE(SUBSTITUTE(TRIM(G466),"Rs.",""),"INR",""),"₹",""),"â‚¹",""),"$","")," ",""),"")
)</f>
        <v>46284</v>
      </c>
      <c r="I466" s="1">
        <f t="shared" si="22"/>
        <v>46284</v>
      </c>
      <c r="J466" s="1" t="str">
        <f t="shared" si="23"/>
        <v>Nill</v>
      </c>
      <c r="K466" s="1" t="s">
        <v>87</v>
      </c>
      <c r="L466" s="1" t="s">
        <v>13</v>
      </c>
      <c r="M466" s="1" t="s">
        <v>1253</v>
      </c>
      <c r="N466"/>
    </row>
    <row r="467" spans="1:14" x14ac:dyDescent="0.25">
      <c r="A467" s="1" t="s">
        <v>1105</v>
      </c>
      <c r="B467" s="1" t="s">
        <v>359</v>
      </c>
      <c r="C467" s="5">
        <v>44473</v>
      </c>
      <c r="D467" s="6">
        <f t="shared" si="21"/>
        <v>44473</v>
      </c>
      <c r="E467" s="1" t="s">
        <v>11</v>
      </c>
      <c r="F467" s="1" t="s">
        <v>158</v>
      </c>
      <c r="G467" s="1" t="s">
        <v>1106</v>
      </c>
      <c r="H467" s="1" cm="1">
        <f t="array" ref="H467">IF(TRIM(G467)="",
   MEDIAN(IFERROR(--SUBSTITUTE(SUBSTITUTE(SUBSTITUTE(SUBSTITUTE(SUBSTITUTE(SUBSTITUTE(G$2:G$747,"Rs.",""),"INR",""),"₹",""),"â‚¹",""),"$","")," ",""),"")),
   IFERROR(--SUBSTITUTE(SUBSTITUTE(SUBSTITUTE(SUBSTITUTE(SUBSTITUTE(SUBSTITUTE(TRIM(G467),"Rs.",""),"INR",""),"₹",""),"â‚¹",""),"$","")," ",""),"")
)</f>
        <v>8679</v>
      </c>
      <c r="I467" s="1">
        <f t="shared" si="22"/>
        <v>8679</v>
      </c>
      <c r="J467" s="1" t="str">
        <f t="shared" si="23"/>
        <v>Nill</v>
      </c>
      <c r="K467" s="1" t="s">
        <v>138</v>
      </c>
      <c r="L467" s="1" t="s">
        <v>198</v>
      </c>
      <c r="M467" s="1" t="s">
        <v>1253</v>
      </c>
      <c r="N467"/>
    </row>
    <row r="468" spans="1:14" x14ac:dyDescent="0.25">
      <c r="A468" s="1" t="s">
        <v>836</v>
      </c>
      <c r="B468" s="1" t="s">
        <v>212</v>
      </c>
      <c r="C468" s="5">
        <v>44782</v>
      </c>
      <c r="D468" s="6">
        <f t="shared" si="21"/>
        <v>44782</v>
      </c>
      <c r="E468" s="1" t="s">
        <v>11</v>
      </c>
      <c r="F468" s="1" t="s">
        <v>465</v>
      </c>
      <c r="G468" s="1">
        <v>1336</v>
      </c>
      <c r="H468" s="1" cm="1">
        <f t="array" ref="H468">IF(TRIM(G468)="",
   MEDIAN(IFERROR(--SUBSTITUTE(SUBSTITUTE(SUBSTITUTE(SUBSTITUTE(SUBSTITUTE(SUBSTITUTE(G$2:G$747,"Rs.",""),"INR",""),"₹",""),"â‚¹",""),"$","")," ",""),"")),
   IFERROR(--SUBSTITUTE(SUBSTITUTE(SUBSTITUTE(SUBSTITUTE(SUBSTITUTE(SUBSTITUTE(TRIM(G468),"Rs.",""),"INR",""),"₹",""),"â‚¹",""),"$","")," ",""),"")
)</f>
        <v>1336</v>
      </c>
      <c r="I468" s="1">
        <f t="shared" si="22"/>
        <v>1336</v>
      </c>
      <c r="J468" s="1" t="str">
        <f t="shared" si="23"/>
        <v>Nill</v>
      </c>
      <c r="K468" s="1" t="s">
        <v>138</v>
      </c>
      <c r="L468" s="1" t="s">
        <v>13</v>
      </c>
      <c r="M468" s="1" t="s">
        <v>1253</v>
      </c>
      <c r="N468"/>
    </row>
    <row r="469" spans="1:14" x14ac:dyDescent="0.25">
      <c r="A469" s="1" t="s">
        <v>1187</v>
      </c>
      <c r="B469" s="1" t="s">
        <v>1016</v>
      </c>
      <c r="C469" s="5">
        <v>45352</v>
      </c>
      <c r="D469" s="6">
        <f t="shared" si="21"/>
        <v>45352</v>
      </c>
      <c r="E469" s="1" t="s">
        <v>11</v>
      </c>
      <c r="F469" s="1" t="s">
        <v>158</v>
      </c>
      <c r="G469" s="1">
        <v>2966</v>
      </c>
      <c r="H469" s="1" cm="1">
        <f t="array" ref="H469">IF(TRIM(G469)="",
   MEDIAN(IFERROR(--SUBSTITUTE(SUBSTITUTE(SUBSTITUTE(SUBSTITUTE(SUBSTITUTE(SUBSTITUTE(G$2:G$747,"Rs.",""),"INR",""),"₹",""),"â‚¹",""),"$","")," ",""),"")),
   IFERROR(--SUBSTITUTE(SUBSTITUTE(SUBSTITUTE(SUBSTITUTE(SUBSTITUTE(SUBSTITUTE(TRIM(G469),"Rs.",""),"INR",""),"₹",""),"â‚¹",""),"$","")," ",""),"")
)</f>
        <v>2966</v>
      </c>
      <c r="I469" s="1">
        <f t="shared" si="22"/>
        <v>2966</v>
      </c>
      <c r="J469" s="1" t="str">
        <f t="shared" si="23"/>
        <v>Nill</v>
      </c>
      <c r="K469" s="1" t="s">
        <v>25</v>
      </c>
      <c r="L469" s="1" t="s">
        <v>1252</v>
      </c>
      <c r="M469" s="1" t="s">
        <v>255</v>
      </c>
      <c r="N469"/>
    </row>
    <row r="470" spans="1:14" x14ac:dyDescent="0.25">
      <c r="A470" s="1" t="s">
        <v>1020</v>
      </c>
      <c r="B470" s="1" t="s">
        <v>234</v>
      </c>
      <c r="C470" s="5">
        <v>45277</v>
      </c>
      <c r="D470" s="6">
        <f t="shared" si="21"/>
        <v>45277</v>
      </c>
      <c r="E470" s="1" t="s">
        <v>11</v>
      </c>
      <c r="F470" s="1" t="s">
        <v>69</v>
      </c>
      <c r="G470" s="1">
        <v>2611</v>
      </c>
      <c r="H470" s="1" cm="1">
        <f t="array" ref="H470">IF(TRIM(G470)="",
   MEDIAN(IFERROR(--SUBSTITUTE(SUBSTITUTE(SUBSTITUTE(SUBSTITUTE(SUBSTITUTE(SUBSTITUTE(G$2:G$747,"Rs.",""),"INR",""),"₹",""),"â‚¹",""),"$","")," ",""),"")),
   IFERROR(--SUBSTITUTE(SUBSTITUTE(SUBSTITUTE(SUBSTITUTE(SUBSTITUTE(SUBSTITUTE(TRIM(G470),"Rs.",""),"INR",""),"₹",""),"â‚¹",""),"$","")," ",""),"")
)</f>
        <v>2611</v>
      </c>
      <c r="I470" s="1">
        <f t="shared" si="22"/>
        <v>2611</v>
      </c>
      <c r="J470" s="1" t="str">
        <f t="shared" si="23"/>
        <v>Nill</v>
      </c>
      <c r="K470" s="1" t="s">
        <v>138</v>
      </c>
      <c r="L470" s="1" t="s">
        <v>167</v>
      </c>
      <c r="M470" s="1" t="s">
        <v>54</v>
      </c>
      <c r="N470"/>
    </row>
    <row r="471" spans="1:14" x14ac:dyDescent="0.25">
      <c r="A471" s="1" t="s">
        <v>837</v>
      </c>
      <c r="B471" s="1" t="s">
        <v>72</v>
      </c>
      <c r="C471" s="1" t="s">
        <v>838</v>
      </c>
      <c r="D471" s="6">
        <f t="shared" si="21"/>
        <v>45428</v>
      </c>
      <c r="E471" s="1" t="s">
        <v>11</v>
      </c>
      <c r="F471" s="1" t="s">
        <v>85</v>
      </c>
      <c r="G471" s="1">
        <v>7761</v>
      </c>
      <c r="H471" s="1" cm="1">
        <f t="array" ref="H471">IF(TRIM(G471)="",
   MEDIAN(IFERROR(--SUBSTITUTE(SUBSTITUTE(SUBSTITUTE(SUBSTITUTE(SUBSTITUTE(SUBSTITUTE(G$2:G$747,"Rs.",""),"INR",""),"₹",""),"â‚¹",""),"$","")," ",""),"")),
   IFERROR(--SUBSTITUTE(SUBSTITUTE(SUBSTITUTE(SUBSTITUTE(SUBSTITUTE(SUBSTITUTE(TRIM(G471),"Rs.",""),"INR",""),"₹",""),"â‚¹",""),"$","")," ",""),"")
)</f>
        <v>7761</v>
      </c>
      <c r="I471" s="1">
        <f t="shared" si="22"/>
        <v>7761</v>
      </c>
      <c r="J471" s="1" t="str">
        <f t="shared" si="23"/>
        <v>Nill</v>
      </c>
      <c r="K471" s="1" t="s">
        <v>138</v>
      </c>
      <c r="L471" s="1" t="s">
        <v>81</v>
      </c>
      <c r="M471" s="1" t="s">
        <v>113</v>
      </c>
      <c r="N471"/>
    </row>
    <row r="472" spans="1:14" x14ac:dyDescent="0.25">
      <c r="A472" s="1" t="s">
        <v>562</v>
      </c>
      <c r="B472" s="1" t="s">
        <v>362</v>
      </c>
      <c r="C472" s="5">
        <v>45569</v>
      </c>
      <c r="D472" s="6">
        <f t="shared" si="21"/>
        <v>45569</v>
      </c>
      <c r="E472" s="1" t="s">
        <v>11</v>
      </c>
      <c r="F472" s="1" t="s">
        <v>171</v>
      </c>
      <c r="G472" s="1">
        <v>9348</v>
      </c>
      <c r="H472" s="1" cm="1">
        <f t="array" ref="H472">IF(TRIM(G472)="",
   MEDIAN(IFERROR(--SUBSTITUTE(SUBSTITUTE(SUBSTITUTE(SUBSTITUTE(SUBSTITUTE(SUBSTITUTE(G$2:G$747,"Rs.",""),"INR",""),"₹",""),"â‚¹",""),"$","")," ",""),"")),
   IFERROR(--SUBSTITUTE(SUBSTITUTE(SUBSTITUTE(SUBSTITUTE(SUBSTITUTE(SUBSTITUTE(TRIM(G472),"Rs.",""),"INR",""),"₹",""),"â‚¹",""),"$","")," ",""),"")
)</f>
        <v>9348</v>
      </c>
      <c r="I472" s="1">
        <f t="shared" si="22"/>
        <v>9348</v>
      </c>
      <c r="J472" s="1" t="str">
        <f t="shared" si="23"/>
        <v>Nill</v>
      </c>
      <c r="K472" s="1" t="s">
        <v>75</v>
      </c>
      <c r="L472" s="1" t="s">
        <v>97</v>
      </c>
      <c r="M472" s="1" t="s">
        <v>1253</v>
      </c>
      <c r="N472"/>
    </row>
    <row r="473" spans="1:14" x14ac:dyDescent="0.25">
      <c r="A473" s="1" t="s">
        <v>504</v>
      </c>
      <c r="B473" s="1" t="s">
        <v>234</v>
      </c>
      <c r="C473" s="5">
        <v>45656</v>
      </c>
      <c r="D473" s="6">
        <f t="shared" si="21"/>
        <v>45656</v>
      </c>
      <c r="E473" s="1" t="s">
        <v>11</v>
      </c>
      <c r="F473" s="1" t="s">
        <v>85</v>
      </c>
      <c r="G473" s="1">
        <v>8592</v>
      </c>
      <c r="H473" s="1" cm="1">
        <f t="array" ref="H473">IF(TRIM(G473)="",
   MEDIAN(IFERROR(--SUBSTITUTE(SUBSTITUTE(SUBSTITUTE(SUBSTITUTE(SUBSTITUTE(SUBSTITUTE(G$2:G$747,"Rs.",""),"INR",""),"₹",""),"â‚¹",""),"$","")," ",""),"")),
   IFERROR(--SUBSTITUTE(SUBSTITUTE(SUBSTITUTE(SUBSTITUTE(SUBSTITUTE(SUBSTITUTE(TRIM(G473),"Rs.",""),"INR",""),"₹",""),"â‚¹",""),"$","")," ",""),"")
)</f>
        <v>8592</v>
      </c>
      <c r="I473" s="1">
        <f t="shared" si="22"/>
        <v>8592</v>
      </c>
      <c r="J473" s="1" t="str">
        <f t="shared" si="23"/>
        <v>Nill</v>
      </c>
      <c r="K473" s="1" t="s">
        <v>138</v>
      </c>
      <c r="L473" s="1" t="s">
        <v>167</v>
      </c>
      <c r="M473" s="1" t="s">
        <v>255</v>
      </c>
      <c r="N473"/>
    </row>
    <row r="474" spans="1:14" x14ac:dyDescent="0.25">
      <c r="A474" s="1" t="s">
        <v>479</v>
      </c>
      <c r="B474" s="1" t="s">
        <v>92</v>
      </c>
      <c r="C474" s="1" t="s">
        <v>480</v>
      </c>
      <c r="D474" s="6">
        <f t="shared" si="21"/>
        <v>45459</v>
      </c>
      <c r="E474" s="1" t="s">
        <v>11</v>
      </c>
      <c r="F474" s="1" t="s">
        <v>171</v>
      </c>
      <c r="G474" s="1">
        <v>12435</v>
      </c>
      <c r="H474" s="1" cm="1">
        <f t="array" ref="H474">IF(TRIM(G474)="",
   MEDIAN(IFERROR(--SUBSTITUTE(SUBSTITUTE(SUBSTITUTE(SUBSTITUTE(SUBSTITUTE(SUBSTITUTE(G$2:G$747,"Rs.",""),"INR",""),"₹",""),"â‚¹",""),"$","")," ",""),"")),
   IFERROR(--SUBSTITUTE(SUBSTITUTE(SUBSTITUTE(SUBSTITUTE(SUBSTITUTE(SUBSTITUTE(TRIM(G474),"Rs.",""),"INR",""),"₹",""),"â‚¹",""),"$","")," ",""),"")
)</f>
        <v>12435</v>
      </c>
      <c r="I474" s="1">
        <f t="shared" si="22"/>
        <v>12435</v>
      </c>
      <c r="J474" s="1" t="str">
        <f t="shared" si="23"/>
        <v>Nill</v>
      </c>
      <c r="K474" s="1" t="s">
        <v>87</v>
      </c>
      <c r="L474" s="1" t="s">
        <v>40</v>
      </c>
      <c r="M474" s="1" t="s">
        <v>1253</v>
      </c>
      <c r="N474"/>
    </row>
    <row r="475" spans="1:14" x14ac:dyDescent="0.25">
      <c r="A475" s="1" t="s">
        <v>1229</v>
      </c>
      <c r="B475" s="1" t="s">
        <v>1016</v>
      </c>
      <c r="C475" s="5">
        <v>45252</v>
      </c>
      <c r="D475" s="6">
        <f t="shared" si="21"/>
        <v>45252</v>
      </c>
      <c r="E475" s="1" t="s">
        <v>11</v>
      </c>
      <c r="F475" s="1" t="s">
        <v>69</v>
      </c>
      <c r="G475" s="1">
        <v>4827</v>
      </c>
      <c r="H475" s="1" cm="1">
        <f t="array" ref="H475">IF(TRIM(G475)="",
   MEDIAN(IFERROR(--SUBSTITUTE(SUBSTITUTE(SUBSTITUTE(SUBSTITUTE(SUBSTITUTE(SUBSTITUTE(G$2:G$747,"Rs.",""),"INR",""),"₹",""),"â‚¹",""),"$","")," ",""),"")),
   IFERROR(--SUBSTITUTE(SUBSTITUTE(SUBSTITUTE(SUBSTITUTE(SUBSTITUTE(SUBSTITUTE(TRIM(G475),"Rs.",""),"INR",""),"₹",""),"â‚¹",""),"$","")," ",""),"")
)</f>
        <v>4827</v>
      </c>
      <c r="I475" s="1">
        <f t="shared" si="22"/>
        <v>4827</v>
      </c>
      <c r="J475" s="1" t="str">
        <f t="shared" si="23"/>
        <v>Nill</v>
      </c>
      <c r="K475" s="1" t="s">
        <v>12</v>
      </c>
      <c r="L475" s="1" t="s">
        <v>13</v>
      </c>
      <c r="M475" s="1" t="s">
        <v>1253</v>
      </c>
      <c r="N475"/>
    </row>
    <row r="476" spans="1:14" x14ac:dyDescent="0.25">
      <c r="A476" s="1" t="s">
        <v>883</v>
      </c>
      <c r="B476" s="1" t="s">
        <v>700</v>
      </c>
      <c r="C476" s="5">
        <v>44682</v>
      </c>
      <c r="D476" s="6">
        <f t="shared" si="21"/>
        <v>44682</v>
      </c>
      <c r="E476" s="1" t="s">
        <v>11</v>
      </c>
      <c r="F476" s="1" t="s">
        <v>171</v>
      </c>
      <c r="G476" s="1">
        <v>20656</v>
      </c>
      <c r="H476" s="1" cm="1">
        <f t="array" ref="H476">IF(TRIM(G476)="",
   MEDIAN(IFERROR(--SUBSTITUTE(SUBSTITUTE(SUBSTITUTE(SUBSTITUTE(SUBSTITUTE(SUBSTITUTE(G$2:G$747,"Rs.",""),"INR",""),"₹",""),"â‚¹",""),"$","")," ",""),"")),
   IFERROR(--SUBSTITUTE(SUBSTITUTE(SUBSTITUTE(SUBSTITUTE(SUBSTITUTE(SUBSTITUTE(TRIM(G476),"Rs.",""),"INR",""),"₹",""),"â‚¹",""),"$","")," ",""),"")
)</f>
        <v>20656</v>
      </c>
      <c r="I476" s="1">
        <f t="shared" si="22"/>
        <v>20656</v>
      </c>
      <c r="J476" s="1" t="str">
        <f t="shared" si="23"/>
        <v>Nill</v>
      </c>
      <c r="K476" s="1" t="s">
        <v>110</v>
      </c>
      <c r="L476" s="1" t="s">
        <v>217</v>
      </c>
      <c r="M476" s="1" t="s">
        <v>1253</v>
      </c>
      <c r="N476"/>
    </row>
    <row r="477" spans="1:14" x14ac:dyDescent="0.25">
      <c r="A477" s="1" t="s">
        <v>149</v>
      </c>
      <c r="B477" s="1" t="s">
        <v>150</v>
      </c>
      <c r="C477" s="1" t="s">
        <v>151</v>
      </c>
      <c r="D477" s="6">
        <f t="shared" si="21"/>
        <v>44706</v>
      </c>
      <c r="E477" s="1" t="s">
        <v>11</v>
      </c>
      <c r="F477" s="1" t="s">
        <v>69</v>
      </c>
      <c r="G477" s="1">
        <v>235</v>
      </c>
      <c r="H477" s="1" cm="1">
        <f t="array" ref="H477">IF(TRIM(G477)="",
   MEDIAN(IFERROR(--SUBSTITUTE(SUBSTITUTE(SUBSTITUTE(SUBSTITUTE(SUBSTITUTE(SUBSTITUTE(G$2:G$747,"Rs.",""),"INR",""),"₹",""),"â‚¹",""),"$","")," ",""),"")),
   IFERROR(--SUBSTITUTE(SUBSTITUTE(SUBSTITUTE(SUBSTITUTE(SUBSTITUTE(SUBSTITUTE(TRIM(G477),"Rs.",""),"INR",""),"₹",""),"â‚¹",""),"$","")," ",""),"")
)</f>
        <v>235</v>
      </c>
      <c r="I477" s="1">
        <f t="shared" si="22"/>
        <v>235</v>
      </c>
      <c r="J477" s="1" t="str">
        <f t="shared" si="23"/>
        <v>Nill</v>
      </c>
      <c r="K477" s="1" t="s">
        <v>12</v>
      </c>
      <c r="L477" s="1" t="s">
        <v>299</v>
      </c>
      <c r="M477" s="1" t="s">
        <v>76</v>
      </c>
      <c r="N477"/>
    </row>
    <row r="478" spans="1:14" x14ac:dyDescent="0.25">
      <c r="A478" s="1" t="s">
        <v>383</v>
      </c>
      <c r="B478" s="1" t="s">
        <v>10</v>
      </c>
      <c r="C478" s="1" t="s">
        <v>384</v>
      </c>
      <c r="D478" s="6">
        <f t="shared" si="21"/>
        <v>44272</v>
      </c>
      <c r="E478" s="1" t="s">
        <v>11</v>
      </c>
      <c r="F478" s="1" t="s">
        <v>69</v>
      </c>
      <c r="G478" s="1" t="s">
        <v>385</v>
      </c>
      <c r="H478" s="1" cm="1">
        <f t="array" ref="H478">IF(TRIM(G478)="",
   MEDIAN(IFERROR(--SUBSTITUTE(SUBSTITUTE(SUBSTITUTE(SUBSTITUTE(SUBSTITUTE(SUBSTITUTE(G$2:G$747,"Rs.",""),"INR",""),"₹",""),"â‚¹",""),"$","")," ",""),"")),
   IFERROR(--SUBSTITUTE(SUBSTITUTE(SUBSTITUTE(SUBSTITUTE(SUBSTITUTE(SUBSTITUTE(TRIM(G478),"Rs.",""),"INR",""),"₹",""),"â‚¹",""),"$","")," ",""),"")
)</f>
        <v>8124</v>
      </c>
      <c r="I478" s="1">
        <f t="shared" si="22"/>
        <v>8124</v>
      </c>
      <c r="J478" s="1" t="str">
        <f t="shared" si="23"/>
        <v>Nill</v>
      </c>
      <c r="K478" s="1" t="s">
        <v>1253</v>
      </c>
      <c r="L478" s="1" t="s">
        <v>167</v>
      </c>
      <c r="M478" s="1" t="s">
        <v>113</v>
      </c>
      <c r="N478"/>
    </row>
    <row r="479" spans="1:14" x14ac:dyDescent="0.25">
      <c r="A479" s="1" t="s">
        <v>118</v>
      </c>
      <c r="B479" s="1" t="s">
        <v>119</v>
      </c>
      <c r="C479" s="5">
        <v>44929</v>
      </c>
      <c r="D479" s="6">
        <f t="shared" si="21"/>
        <v>44929</v>
      </c>
      <c r="E479" s="1" t="s">
        <v>11</v>
      </c>
      <c r="F479" s="1" t="s">
        <v>69</v>
      </c>
      <c r="G479" s="1">
        <v>3865</v>
      </c>
      <c r="H479" s="1" cm="1">
        <f t="array" ref="H479">IF(TRIM(G479)="",
   MEDIAN(IFERROR(--SUBSTITUTE(SUBSTITUTE(SUBSTITUTE(SUBSTITUTE(SUBSTITUTE(SUBSTITUTE(G$2:G$747,"Rs.",""),"INR",""),"₹",""),"â‚¹",""),"$","")," ",""),"")),
   IFERROR(--SUBSTITUTE(SUBSTITUTE(SUBSTITUTE(SUBSTITUTE(SUBSTITUTE(SUBSTITUTE(TRIM(G479),"Rs.",""),"INR",""),"₹",""),"â‚¹",""),"$","")," ",""),"")
)</f>
        <v>3865</v>
      </c>
      <c r="I479" s="1">
        <f t="shared" si="22"/>
        <v>3865</v>
      </c>
      <c r="J479" s="1" t="str">
        <f t="shared" si="23"/>
        <v>Nill</v>
      </c>
      <c r="K479" s="1" t="s">
        <v>25</v>
      </c>
      <c r="L479" s="1" t="s">
        <v>97</v>
      </c>
      <c r="M479" s="1" t="s">
        <v>1253</v>
      </c>
      <c r="N479"/>
    </row>
    <row r="480" spans="1:14" x14ac:dyDescent="0.25">
      <c r="A480" s="1" t="s">
        <v>1025</v>
      </c>
      <c r="B480" s="1" t="s">
        <v>108</v>
      </c>
      <c r="C480" s="5">
        <v>44840</v>
      </c>
      <c r="D480" s="6">
        <f t="shared" si="21"/>
        <v>44840</v>
      </c>
      <c r="E480" s="1" t="s">
        <v>11</v>
      </c>
      <c r="F480" s="1" t="s">
        <v>171</v>
      </c>
      <c r="G480" s="1">
        <v>6829</v>
      </c>
      <c r="H480" s="1" cm="1">
        <f t="array" ref="H480">IF(TRIM(G480)="",
   MEDIAN(IFERROR(--SUBSTITUTE(SUBSTITUTE(SUBSTITUTE(SUBSTITUTE(SUBSTITUTE(SUBSTITUTE(G$2:G$747,"Rs.",""),"INR",""),"₹",""),"â‚¹",""),"$","")," ",""),"")),
   IFERROR(--SUBSTITUTE(SUBSTITUTE(SUBSTITUTE(SUBSTITUTE(SUBSTITUTE(SUBSTITUTE(TRIM(G480),"Rs.",""),"INR",""),"₹",""),"â‚¹",""),"$","")," ",""),"")
)</f>
        <v>6829</v>
      </c>
      <c r="I480" s="1">
        <f t="shared" si="22"/>
        <v>6829</v>
      </c>
      <c r="J480" s="1" t="str">
        <f t="shared" si="23"/>
        <v>Nill</v>
      </c>
      <c r="K480" s="1" t="s">
        <v>204</v>
      </c>
      <c r="L480" s="1" t="s">
        <v>97</v>
      </c>
      <c r="M480" s="1" t="s">
        <v>82</v>
      </c>
      <c r="N480"/>
    </row>
    <row r="481" spans="1:14" x14ac:dyDescent="0.25">
      <c r="A481" s="1" t="s">
        <v>358</v>
      </c>
      <c r="B481" s="1" t="s">
        <v>359</v>
      </c>
      <c r="C481" s="5">
        <v>44609</v>
      </c>
      <c r="D481" s="6">
        <f t="shared" si="21"/>
        <v>44609</v>
      </c>
      <c r="E481" s="1" t="s">
        <v>11</v>
      </c>
      <c r="F481" s="1" t="s">
        <v>171</v>
      </c>
      <c r="G481" s="1">
        <v>47473</v>
      </c>
      <c r="H481" s="1" cm="1">
        <f t="array" ref="H481">IF(TRIM(G481)="",
   MEDIAN(IFERROR(--SUBSTITUTE(SUBSTITUTE(SUBSTITUTE(SUBSTITUTE(SUBSTITUTE(SUBSTITUTE(G$2:G$747,"Rs.",""),"INR",""),"₹",""),"â‚¹",""),"$","")," ",""),"")),
   IFERROR(--SUBSTITUTE(SUBSTITUTE(SUBSTITUTE(SUBSTITUTE(SUBSTITUTE(SUBSTITUTE(TRIM(G481),"Rs.",""),"INR",""),"₹",""),"â‚¹",""),"$","")," ",""),"")
)</f>
        <v>47473</v>
      </c>
      <c r="I481" s="1">
        <f t="shared" si="22"/>
        <v>47473</v>
      </c>
      <c r="J481" s="1" t="str">
        <f t="shared" si="23"/>
        <v>Nill</v>
      </c>
      <c r="K481" s="1" t="s">
        <v>25</v>
      </c>
      <c r="L481" s="1" t="s">
        <v>17</v>
      </c>
      <c r="M481" s="1" t="s">
        <v>128</v>
      </c>
      <c r="N481"/>
    </row>
    <row r="482" spans="1:14" x14ac:dyDescent="0.25">
      <c r="A482" s="1" t="s">
        <v>418</v>
      </c>
      <c r="B482" s="1" t="s">
        <v>419</v>
      </c>
      <c r="C482" s="5">
        <v>45111</v>
      </c>
      <c r="D482" s="6">
        <f t="shared" si="21"/>
        <v>45111</v>
      </c>
      <c r="E482" s="1" t="s">
        <v>11</v>
      </c>
      <c r="F482" s="1" t="s">
        <v>85</v>
      </c>
      <c r="G482" s="1">
        <v>1409</v>
      </c>
      <c r="H482" s="1" cm="1">
        <f t="array" ref="H482">IF(TRIM(G482)="",
   MEDIAN(IFERROR(--SUBSTITUTE(SUBSTITUTE(SUBSTITUTE(SUBSTITUTE(SUBSTITUTE(SUBSTITUTE(G$2:G$747,"Rs.",""),"INR",""),"₹",""),"â‚¹",""),"$","")," ",""),"")),
   IFERROR(--SUBSTITUTE(SUBSTITUTE(SUBSTITUTE(SUBSTITUTE(SUBSTITUTE(SUBSTITUTE(TRIM(G482),"Rs.",""),"INR",""),"₹",""),"â‚¹",""),"$","")," ",""),"")
)</f>
        <v>1409</v>
      </c>
      <c r="I482" s="1">
        <f t="shared" si="22"/>
        <v>1409</v>
      </c>
      <c r="J482" s="1" t="str">
        <f t="shared" si="23"/>
        <v>Nill</v>
      </c>
      <c r="K482" s="1" t="s">
        <v>48</v>
      </c>
      <c r="L482" s="1" t="s">
        <v>299</v>
      </c>
      <c r="M482" s="1" t="s">
        <v>1253</v>
      </c>
      <c r="N482"/>
    </row>
    <row r="483" spans="1:14" x14ac:dyDescent="0.25">
      <c r="A483" s="1" t="s">
        <v>868</v>
      </c>
      <c r="B483" s="1" t="s">
        <v>442</v>
      </c>
      <c r="C483" s="1" t="s">
        <v>869</v>
      </c>
      <c r="D483" s="6">
        <f t="shared" si="21"/>
        <v>44607</v>
      </c>
      <c r="E483" s="1" t="s">
        <v>11</v>
      </c>
      <c r="F483" s="1" t="s">
        <v>85</v>
      </c>
      <c r="G483" s="1">
        <v>3607</v>
      </c>
      <c r="H483" s="1" cm="1">
        <f t="array" ref="H483">IF(TRIM(G483)="",
   MEDIAN(IFERROR(--SUBSTITUTE(SUBSTITUTE(SUBSTITUTE(SUBSTITUTE(SUBSTITUTE(SUBSTITUTE(G$2:G$747,"Rs.",""),"INR",""),"₹",""),"â‚¹",""),"$","")," ",""),"")),
   IFERROR(--SUBSTITUTE(SUBSTITUTE(SUBSTITUTE(SUBSTITUTE(SUBSTITUTE(SUBSTITUTE(TRIM(G483),"Rs.",""),"INR",""),"₹",""),"â‚¹",""),"$","")," ",""),"")
)</f>
        <v>3607</v>
      </c>
      <c r="I483" s="1">
        <f t="shared" si="22"/>
        <v>3607</v>
      </c>
      <c r="J483" s="1" t="str">
        <f t="shared" si="23"/>
        <v>Nill</v>
      </c>
      <c r="K483" s="1" t="s">
        <v>12</v>
      </c>
      <c r="L483" s="1" t="s">
        <v>13</v>
      </c>
      <c r="M483" s="1" t="s">
        <v>179</v>
      </c>
      <c r="N483"/>
    </row>
    <row r="484" spans="1:14" x14ac:dyDescent="0.25">
      <c r="A484" s="1" t="s">
        <v>9</v>
      </c>
      <c r="B484" s="1" t="s">
        <v>10</v>
      </c>
      <c r="C484" s="5">
        <v>45041</v>
      </c>
      <c r="D484" s="6">
        <f t="shared" si="21"/>
        <v>45041</v>
      </c>
      <c r="E484" s="1" t="s">
        <v>11</v>
      </c>
      <c r="F484" s="1" t="s">
        <v>158</v>
      </c>
      <c r="G484" s="1">
        <v>3888</v>
      </c>
      <c r="H484" s="1" cm="1">
        <f t="array" ref="H484">IF(TRIM(G484)="",
   MEDIAN(IFERROR(--SUBSTITUTE(SUBSTITUTE(SUBSTITUTE(SUBSTITUTE(SUBSTITUTE(SUBSTITUTE(G$2:G$747,"Rs.",""),"INR",""),"₹",""),"â‚¹",""),"$","")," ",""),"")),
   IFERROR(--SUBSTITUTE(SUBSTITUTE(SUBSTITUTE(SUBSTITUTE(SUBSTITUTE(SUBSTITUTE(TRIM(G484),"Rs.",""),"INR",""),"₹",""),"â‚¹",""),"$","")," ",""),"")
)</f>
        <v>3888</v>
      </c>
      <c r="I484" s="1">
        <f t="shared" si="22"/>
        <v>3888</v>
      </c>
      <c r="J484" s="1" t="str">
        <f t="shared" si="23"/>
        <v>Nill</v>
      </c>
      <c r="K484" s="1" t="s">
        <v>12</v>
      </c>
      <c r="L484" s="1" t="s">
        <v>13</v>
      </c>
      <c r="M484" s="1" t="s">
        <v>14</v>
      </c>
      <c r="N484"/>
    </row>
    <row r="485" spans="1:14" x14ac:dyDescent="0.25">
      <c r="A485" s="1" t="s">
        <v>1072</v>
      </c>
      <c r="B485" s="1" t="s">
        <v>126</v>
      </c>
      <c r="C485" s="1" t="s">
        <v>1073</v>
      </c>
      <c r="D485" s="6">
        <f t="shared" si="21"/>
        <v>44985</v>
      </c>
      <c r="E485" s="1" t="s">
        <v>20</v>
      </c>
      <c r="F485" s="1" t="s">
        <v>52</v>
      </c>
      <c r="G485" s="1">
        <v>19382</v>
      </c>
      <c r="H485" s="1" cm="1">
        <f t="array" ref="H485">IF(TRIM(G485)="",
   MEDIAN(IFERROR(--SUBSTITUTE(SUBSTITUTE(SUBSTITUTE(SUBSTITUTE(SUBSTITUTE(SUBSTITUTE(G$2:G$747,"Rs.",""),"INR",""),"₹",""),"â‚¹",""),"$","")," ",""),"")),
   IFERROR(--SUBSTITUTE(SUBSTITUTE(SUBSTITUTE(SUBSTITUTE(SUBSTITUTE(SUBSTITUTE(TRIM(G485),"Rs.",""),"INR",""),"₹",""),"â‚¹",""),"$","")," ",""),"")
)</f>
        <v>19382</v>
      </c>
      <c r="I485" s="1" t="str">
        <f t="shared" si="22"/>
        <v>Nill</v>
      </c>
      <c r="J485" s="1">
        <f t="shared" si="23"/>
        <v>19382</v>
      </c>
      <c r="K485" s="1" t="s">
        <v>25</v>
      </c>
      <c r="L485" s="1" t="s">
        <v>13</v>
      </c>
      <c r="M485" s="1" t="s">
        <v>88</v>
      </c>
      <c r="N485"/>
    </row>
    <row r="486" spans="1:14" x14ac:dyDescent="0.25">
      <c r="A486" s="1" t="s">
        <v>630</v>
      </c>
      <c r="B486" s="1" t="s">
        <v>376</v>
      </c>
      <c r="C486" s="5">
        <v>44758</v>
      </c>
      <c r="D486" s="6">
        <f t="shared" si="21"/>
        <v>44758</v>
      </c>
      <c r="E486" s="1" t="s">
        <v>11</v>
      </c>
      <c r="F486" s="1" t="s">
        <v>85</v>
      </c>
      <c r="G486" s="1" t="s">
        <v>631</v>
      </c>
      <c r="H486" s="1" cm="1">
        <f t="array" ref="H486">IF(TRIM(G486)="",
   MEDIAN(IFERROR(--SUBSTITUTE(SUBSTITUTE(SUBSTITUTE(SUBSTITUTE(SUBSTITUTE(SUBSTITUTE(G$2:G$747,"Rs.",""),"INR",""),"₹",""),"â‚¹",""),"$","")," ",""),"")),
   IFERROR(--SUBSTITUTE(SUBSTITUTE(SUBSTITUTE(SUBSTITUTE(SUBSTITUTE(SUBSTITUTE(TRIM(G486),"Rs.",""),"INR",""),"₹",""),"â‚¹",""),"$","")," ",""),"")
)</f>
        <v>6799</v>
      </c>
      <c r="I486" s="1">
        <f t="shared" si="22"/>
        <v>6799</v>
      </c>
      <c r="J486" s="1" t="str">
        <f t="shared" si="23"/>
        <v>Nill</v>
      </c>
      <c r="K486" s="1" t="s">
        <v>31</v>
      </c>
      <c r="L486" s="1" t="s">
        <v>81</v>
      </c>
      <c r="M486" s="1" t="s">
        <v>70</v>
      </c>
      <c r="N486"/>
    </row>
    <row r="487" spans="1:14" x14ac:dyDescent="0.25">
      <c r="A487" s="1" t="s">
        <v>1047</v>
      </c>
      <c r="B487" s="1" t="s">
        <v>243</v>
      </c>
      <c r="C487" s="1" t="s">
        <v>1048</v>
      </c>
      <c r="D487" s="6">
        <f t="shared" si="21"/>
        <v>45489</v>
      </c>
      <c r="E487" s="1" t="s">
        <v>11</v>
      </c>
      <c r="F487" s="1" t="s">
        <v>69</v>
      </c>
      <c r="G487" s="1">
        <v>3702</v>
      </c>
      <c r="H487" s="1" cm="1">
        <f t="array" ref="H487">IF(TRIM(G487)="",
   MEDIAN(IFERROR(--SUBSTITUTE(SUBSTITUTE(SUBSTITUTE(SUBSTITUTE(SUBSTITUTE(SUBSTITUTE(G$2:G$747,"Rs.",""),"INR",""),"₹",""),"â‚¹",""),"$","")," ",""),"")),
   IFERROR(--SUBSTITUTE(SUBSTITUTE(SUBSTITUTE(SUBSTITUTE(SUBSTITUTE(SUBSTITUTE(TRIM(G487),"Rs.",""),"INR",""),"₹",""),"â‚¹",""),"$","")," ",""),"")
)</f>
        <v>3702</v>
      </c>
      <c r="I487" s="1">
        <f t="shared" si="22"/>
        <v>3702</v>
      </c>
      <c r="J487" s="1" t="str">
        <f t="shared" si="23"/>
        <v>Nill</v>
      </c>
      <c r="K487" s="1" t="s">
        <v>172</v>
      </c>
      <c r="L487" s="1" t="s">
        <v>198</v>
      </c>
      <c r="M487" s="1" t="s">
        <v>1253</v>
      </c>
      <c r="N487"/>
    </row>
    <row r="488" spans="1:14" x14ac:dyDescent="0.25">
      <c r="A488" s="1" t="s">
        <v>253</v>
      </c>
      <c r="B488" s="1" t="s">
        <v>254</v>
      </c>
      <c r="C488" s="5">
        <v>44548</v>
      </c>
      <c r="D488" s="6">
        <f t="shared" si="21"/>
        <v>44548</v>
      </c>
      <c r="E488" s="1" t="s">
        <v>11</v>
      </c>
      <c r="F488" s="1" t="s">
        <v>85</v>
      </c>
      <c r="H488" s="1" cm="1">
        <f t="array" ref="H488">IF(TRIM(G488)="",
   MEDIAN(IFERROR(--SUBSTITUTE(SUBSTITUTE(SUBSTITUTE(SUBSTITUTE(SUBSTITUTE(SUBSTITUTE(G$2:G$747,"Rs.",""),"INR",""),"₹",""),"â‚¹",""),"$","")," ",""),"")),
   IFERROR(--SUBSTITUTE(SUBSTITUTE(SUBSTITUTE(SUBSTITUTE(SUBSTITUTE(SUBSTITUTE(TRIM(G488),"Rs.",""),"INR",""),"₹",""),"â‚¹",""),"$","")," ",""),"")
)</f>
        <v>5935</v>
      </c>
      <c r="I488" s="1">
        <f t="shared" si="22"/>
        <v>5935</v>
      </c>
      <c r="J488" s="1" t="str">
        <f t="shared" si="23"/>
        <v>Nill</v>
      </c>
      <c r="K488" s="1" t="s">
        <v>48</v>
      </c>
      <c r="L488" s="1" t="s">
        <v>167</v>
      </c>
      <c r="M488" s="1" t="s">
        <v>255</v>
      </c>
      <c r="N488"/>
    </row>
    <row r="489" spans="1:14" x14ac:dyDescent="0.25">
      <c r="A489" s="1" t="s">
        <v>696</v>
      </c>
      <c r="B489" s="1" t="s">
        <v>174</v>
      </c>
      <c r="C489" s="5">
        <v>45120</v>
      </c>
      <c r="D489" s="6">
        <f t="shared" si="21"/>
        <v>45120</v>
      </c>
      <c r="E489" s="1" t="s">
        <v>11</v>
      </c>
      <c r="F489" s="1" t="s">
        <v>85</v>
      </c>
      <c r="G489" s="1">
        <v>2082</v>
      </c>
      <c r="H489" s="1" cm="1">
        <f t="array" ref="H489">IF(TRIM(G489)="",
   MEDIAN(IFERROR(--SUBSTITUTE(SUBSTITUTE(SUBSTITUTE(SUBSTITUTE(SUBSTITUTE(SUBSTITUTE(G$2:G$747,"Rs.",""),"INR",""),"₹",""),"â‚¹",""),"$","")," ",""),"")),
   IFERROR(--SUBSTITUTE(SUBSTITUTE(SUBSTITUTE(SUBSTITUTE(SUBSTITUTE(SUBSTITUTE(TRIM(G489),"Rs.",""),"INR",""),"₹",""),"â‚¹",""),"$","")," ",""),"")
)</f>
        <v>2082</v>
      </c>
      <c r="I489" s="1">
        <f t="shared" si="22"/>
        <v>2082</v>
      </c>
      <c r="J489" s="1" t="str">
        <f t="shared" si="23"/>
        <v>Nill</v>
      </c>
      <c r="K489" s="1" t="s">
        <v>138</v>
      </c>
      <c r="L489" s="1" t="s">
        <v>127</v>
      </c>
      <c r="M489" s="1" t="s">
        <v>49</v>
      </c>
      <c r="N489"/>
    </row>
    <row r="490" spans="1:14" x14ac:dyDescent="0.25">
      <c r="A490" s="1" t="s">
        <v>716</v>
      </c>
      <c r="B490" s="1" t="s">
        <v>234</v>
      </c>
      <c r="C490" s="1" t="s">
        <v>717</v>
      </c>
      <c r="D490" s="6">
        <f t="shared" si="21"/>
        <v>45280</v>
      </c>
      <c r="E490" s="1" t="s">
        <v>11</v>
      </c>
      <c r="F490" s="1" t="s">
        <v>171</v>
      </c>
      <c r="G490" s="1">
        <v>5622</v>
      </c>
      <c r="H490" s="1" cm="1">
        <f t="array" ref="H490">IF(TRIM(G490)="",
   MEDIAN(IFERROR(--SUBSTITUTE(SUBSTITUTE(SUBSTITUTE(SUBSTITUTE(SUBSTITUTE(SUBSTITUTE(G$2:G$747,"Rs.",""),"INR",""),"₹",""),"â‚¹",""),"$","")," ",""),"")),
   IFERROR(--SUBSTITUTE(SUBSTITUTE(SUBSTITUTE(SUBSTITUTE(SUBSTITUTE(SUBSTITUTE(TRIM(G490),"Rs.",""),"INR",""),"₹",""),"â‚¹",""),"$","")," ",""),"")
)</f>
        <v>5622</v>
      </c>
      <c r="I490" s="1">
        <f t="shared" si="22"/>
        <v>5622</v>
      </c>
      <c r="J490" s="1" t="str">
        <f t="shared" si="23"/>
        <v>Nill</v>
      </c>
      <c r="K490" s="1" t="s">
        <v>25</v>
      </c>
      <c r="L490" s="1" t="s">
        <v>97</v>
      </c>
      <c r="M490" s="1" t="s">
        <v>76</v>
      </c>
      <c r="N490"/>
    </row>
    <row r="491" spans="1:14" x14ac:dyDescent="0.25">
      <c r="A491" s="1" t="s">
        <v>1104</v>
      </c>
      <c r="B491" s="1" t="s">
        <v>431</v>
      </c>
      <c r="C491" s="5">
        <v>45514</v>
      </c>
      <c r="D491" s="6">
        <f t="shared" si="21"/>
        <v>45514</v>
      </c>
      <c r="E491" s="1" t="s">
        <v>11</v>
      </c>
      <c r="F491" s="1" t="s">
        <v>158</v>
      </c>
      <c r="G491" s="1">
        <v>9352</v>
      </c>
      <c r="H491" s="1" cm="1">
        <f t="array" ref="H491">IF(TRIM(G491)="",
   MEDIAN(IFERROR(--SUBSTITUTE(SUBSTITUTE(SUBSTITUTE(SUBSTITUTE(SUBSTITUTE(SUBSTITUTE(G$2:G$747,"Rs.",""),"INR",""),"₹",""),"â‚¹",""),"$","")," ",""),"")),
   IFERROR(--SUBSTITUTE(SUBSTITUTE(SUBSTITUTE(SUBSTITUTE(SUBSTITUTE(SUBSTITUTE(TRIM(G491),"Rs.",""),"INR",""),"₹",""),"â‚¹",""),"$","")," ",""),"")
)</f>
        <v>9352</v>
      </c>
      <c r="I491" s="1">
        <f t="shared" si="22"/>
        <v>9352</v>
      </c>
      <c r="J491" s="1" t="str">
        <f t="shared" si="23"/>
        <v>Nill</v>
      </c>
      <c r="K491" s="1" t="s">
        <v>25</v>
      </c>
      <c r="L491" s="1" t="s">
        <v>299</v>
      </c>
      <c r="M491" s="1" t="s">
        <v>88</v>
      </c>
      <c r="N491"/>
    </row>
    <row r="492" spans="1:14" x14ac:dyDescent="0.25">
      <c r="A492" s="1" t="s">
        <v>787</v>
      </c>
      <c r="B492" s="1" t="s">
        <v>174</v>
      </c>
      <c r="C492" s="5">
        <v>45636</v>
      </c>
      <c r="D492" s="6">
        <f t="shared" si="21"/>
        <v>45636</v>
      </c>
      <c r="E492" s="1" t="s">
        <v>11</v>
      </c>
      <c r="F492" s="1" t="s">
        <v>158</v>
      </c>
      <c r="G492" s="1">
        <v>2398</v>
      </c>
      <c r="H492" s="1" cm="1">
        <f t="array" ref="H492">IF(TRIM(G492)="",
   MEDIAN(IFERROR(--SUBSTITUTE(SUBSTITUTE(SUBSTITUTE(SUBSTITUTE(SUBSTITUTE(SUBSTITUTE(G$2:G$747,"Rs.",""),"INR",""),"₹",""),"â‚¹",""),"$","")," ",""),"")),
   IFERROR(--SUBSTITUTE(SUBSTITUTE(SUBSTITUTE(SUBSTITUTE(SUBSTITUTE(SUBSTITUTE(TRIM(G492),"Rs.",""),"INR",""),"₹",""),"â‚¹",""),"$","")," ",""),"")
)</f>
        <v>2398</v>
      </c>
      <c r="I492" s="1">
        <f t="shared" si="22"/>
        <v>2398</v>
      </c>
      <c r="J492" s="1" t="str">
        <f t="shared" si="23"/>
        <v>Nill</v>
      </c>
      <c r="K492" s="1" t="s">
        <v>25</v>
      </c>
      <c r="L492" s="1" t="s">
        <v>299</v>
      </c>
      <c r="M492" s="1" t="s">
        <v>49</v>
      </c>
      <c r="N492"/>
    </row>
    <row r="493" spans="1:14" x14ac:dyDescent="0.25">
      <c r="A493" s="1" t="s">
        <v>701</v>
      </c>
      <c r="B493" s="1" t="s">
        <v>702</v>
      </c>
      <c r="C493" s="5">
        <v>44966</v>
      </c>
      <c r="D493" s="6">
        <f t="shared" si="21"/>
        <v>44966</v>
      </c>
      <c r="E493" s="1" t="s">
        <v>11</v>
      </c>
      <c r="F493" s="1" t="s">
        <v>171</v>
      </c>
      <c r="G493" s="1">
        <v>747</v>
      </c>
      <c r="H493" s="1" cm="1">
        <f t="array" ref="H493">IF(TRIM(G493)="",
   MEDIAN(IFERROR(--SUBSTITUTE(SUBSTITUTE(SUBSTITUTE(SUBSTITUTE(SUBSTITUTE(SUBSTITUTE(G$2:G$747,"Rs.",""),"INR",""),"₹",""),"â‚¹",""),"$","")," ",""),"")),
   IFERROR(--SUBSTITUTE(SUBSTITUTE(SUBSTITUTE(SUBSTITUTE(SUBSTITUTE(SUBSTITUTE(TRIM(G493),"Rs.",""),"INR",""),"₹",""),"â‚¹",""),"$","")," ",""),"")
)</f>
        <v>747</v>
      </c>
      <c r="I493" s="1">
        <f t="shared" si="22"/>
        <v>747</v>
      </c>
      <c r="J493" s="1" t="str">
        <f t="shared" si="23"/>
        <v>Nill</v>
      </c>
      <c r="K493" s="1" t="s">
        <v>12</v>
      </c>
      <c r="L493" s="1" t="s">
        <v>299</v>
      </c>
      <c r="M493" s="1" t="s">
        <v>1253</v>
      </c>
      <c r="N493"/>
    </row>
    <row r="494" spans="1:14" x14ac:dyDescent="0.25">
      <c r="A494" s="1" t="s">
        <v>870</v>
      </c>
      <c r="B494" s="1" t="s">
        <v>392</v>
      </c>
      <c r="C494" s="5">
        <v>45428</v>
      </c>
      <c r="D494" s="6">
        <f t="shared" si="21"/>
        <v>45428</v>
      </c>
      <c r="E494" s="1" t="s">
        <v>11</v>
      </c>
      <c r="F494" s="1" t="s">
        <v>465</v>
      </c>
      <c r="G494" s="1" t="s">
        <v>871</v>
      </c>
      <c r="H494" s="1" cm="1">
        <f t="array" ref="H494">IF(TRIM(G494)="",
   MEDIAN(IFERROR(--SUBSTITUTE(SUBSTITUTE(SUBSTITUTE(SUBSTITUTE(SUBSTITUTE(SUBSTITUTE(G$2:G$747,"Rs.",""),"INR",""),"₹",""),"â‚¹",""),"$","")," ",""),"")),
   IFERROR(--SUBSTITUTE(SUBSTITUTE(SUBSTITUTE(SUBSTITUTE(SUBSTITUTE(SUBSTITUTE(TRIM(G494),"Rs.",""),"INR",""),"₹",""),"â‚¹",""),"$","")," ",""),"")
)</f>
        <v>1150</v>
      </c>
      <c r="I494" s="1">
        <f t="shared" si="22"/>
        <v>1150</v>
      </c>
      <c r="J494" s="1" t="str">
        <f t="shared" si="23"/>
        <v>Nill</v>
      </c>
      <c r="K494" s="1" t="s">
        <v>25</v>
      </c>
      <c r="L494" s="1" t="s">
        <v>167</v>
      </c>
      <c r="M494" s="1" t="s">
        <v>128</v>
      </c>
      <c r="N494"/>
    </row>
    <row r="495" spans="1:14" x14ac:dyDescent="0.25">
      <c r="A495" s="1" t="s">
        <v>642</v>
      </c>
      <c r="B495" s="1" t="s">
        <v>99</v>
      </c>
      <c r="C495" s="5">
        <v>44449</v>
      </c>
      <c r="D495" s="6">
        <f t="shared" si="21"/>
        <v>44449</v>
      </c>
      <c r="E495" s="1" t="s">
        <v>11</v>
      </c>
      <c r="F495" s="1" t="s">
        <v>171</v>
      </c>
      <c r="G495" s="1" t="s">
        <v>643</v>
      </c>
      <c r="H495" s="1" cm="1">
        <f t="array" ref="H495">IF(TRIM(G495)="",
   MEDIAN(IFERROR(--SUBSTITUTE(SUBSTITUTE(SUBSTITUTE(SUBSTITUTE(SUBSTITUTE(SUBSTITUTE(G$2:G$747,"Rs.",""),"INR",""),"₹",""),"â‚¹",""),"$","")," ",""),"")),
   IFERROR(--SUBSTITUTE(SUBSTITUTE(SUBSTITUTE(SUBSTITUTE(SUBSTITUTE(SUBSTITUTE(TRIM(G495),"Rs.",""),"INR",""),"₹",""),"â‚¹",""),"$","")," ",""),"")
)</f>
        <v>46896</v>
      </c>
      <c r="I495" s="1">
        <f t="shared" si="22"/>
        <v>46896</v>
      </c>
      <c r="J495" s="1" t="str">
        <f t="shared" si="23"/>
        <v>Nill</v>
      </c>
      <c r="K495" s="1" t="s">
        <v>53</v>
      </c>
      <c r="L495" s="1" t="s">
        <v>127</v>
      </c>
      <c r="M495" s="1" t="s">
        <v>255</v>
      </c>
      <c r="N495"/>
    </row>
    <row r="496" spans="1:14" x14ac:dyDescent="0.25">
      <c r="A496" s="1" t="s">
        <v>642</v>
      </c>
      <c r="B496" s="1" t="s">
        <v>160</v>
      </c>
      <c r="C496" s="5">
        <v>45353</v>
      </c>
      <c r="D496" s="6">
        <f t="shared" si="21"/>
        <v>45353</v>
      </c>
      <c r="E496" s="1" t="s">
        <v>11</v>
      </c>
      <c r="F496" s="1" t="s">
        <v>30</v>
      </c>
      <c r="G496" s="1">
        <v>1505</v>
      </c>
      <c r="H496" s="1" cm="1">
        <f t="array" ref="H496">IF(TRIM(G496)="",
   MEDIAN(IFERROR(--SUBSTITUTE(SUBSTITUTE(SUBSTITUTE(SUBSTITUTE(SUBSTITUTE(SUBSTITUTE(G$2:G$747,"Rs.",""),"INR",""),"₹",""),"â‚¹",""),"$","")," ",""),"")),
   IFERROR(--SUBSTITUTE(SUBSTITUTE(SUBSTITUTE(SUBSTITUTE(SUBSTITUTE(SUBSTITUTE(TRIM(G496),"Rs.",""),"INR",""),"₹",""),"â‚¹",""),"$","")," ",""),"")
)</f>
        <v>1505</v>
      </c>
      <c r="I496" s="1">
        <f t="shared" si="22"/>
        <v>1505</v>
      </c>
      <c r="J496" s="1" t="str">
        <f t="shared" si="23"/>
        <v>Nill</v>
      </c>
      <c r="K496" s="1" t="s">
        <v>25</v>
      </c>
      <c r="L496" s="1" t="s">
        <v>217</v>
      </c>
      <c r="M496" s="1" t="s">
        <v>41</v>
      </c>
      <c r="N496"/>
    </row>
    <row r="497" spans="1:14" x14ac:dyDescent="0.25">
      <c r="A497" s="1" t="s">
        <v>656</v>
      </c>
      <c r="B497" s="1" t="s">
        <v>657</v>
      </c>
      <c r="C497" s="5">
        <v>45362</v>
      </c>
      <c r="D497" s="6">
        <f t="shared" si="21"/>
        <v>45362</v>
      </c>
      <c r="E497" s="1" t="s">
        <v>20</v>
      </c>
      <c r="F497" s="1" t="s">
        <v>52</v>
      </c>
      <c r="G497" s="1" t="s">
        <v>658</v>
      </c>
      <c r="H497" s="1" cm="1">
        <f t="array" ref="H497">IF(TRIM(G497)="",
   MEDIAN(IFERROR(--SUBSTITUTE(SUBSTITUTE(SUBSTITUTE(SUBSTITUTE(SUBSTITUTE(SUBSTITUTE(G$2:G$747,"Rs.",""),"INR",""),"₹",""),"â‚¹",""),"$","")," ",""),"")),
   IFERROR(--SUBSTITUTE(SUBSTITUTE(SUBSTITUTE(SUBSTITUTE(SUBSTITUTE(SUBSTITUTE(TRIM(G497),"Rs.",""),"INR",""),"₹",""),"â‚¹",""),"$","")," ",""),"")
)</f>
        <v>13183</v>
      </c>
      <c r="I497" s="1" t="str">
        <f t="shared" si="22"/>
        <v>Nill</v>
      </c>
      <c r="J497" s="1">
        <f t="shared" si="23"/>
        <v>13183</v>
      </c>
      <c r="K497" s="1" t="s">
        <v>48</v>
      </c>
      <c r="L497" s="1" t="s">
        <v>299</v>
      </c>
      <c r="M497" s="1" t="s">
        <v>22</v>
      </c>
      <c r="N497"/>
    </row>
    <row r="498" spans="1:14" x14ac:dyDescent="0.25">
      <c r="A498" s="1" t="s">
        <v>752</v>
      </c>
      <c r="B498" s="1" t="s">
        <v>412</v>
      </c>
      <c r="C498" s="5">
        <v>45638</v>
      </c>
      <c r="D498" s="6">
        <f t="shared" si="21"/>
        <v>45638</v>
      </c>
      <c r="E498" s="1" t="s">
        <v>20</v>
      </c>
      <c r="F498" s="1" t="s">
        <v>52</v>
      </c>
      <c r="G498" s="1">
        <v>224611</v>
      </c>
      <c r="H498" s="1" cm="1">
        <f t="array" ref="H498">IF(TRIM(G498)="",
   MEDIAN(IFERROR(--SUBSTITUTE(SUBSTITUTE(SUBSTITUTE(SUBSTITUTE(SUBSTITUTE(SUBSTITUTE(G$2:G$747,"Rs.",""),"INR",""),"₹",""),"â‚¹",""),"$","")," ",""),"")),
   IFERROR(--SUBSTITUTE(SUBSTITUTE(SUBSTITUTE(SUBSTITUTE(SUBSTITUTE(SUBSTITUTE(TRIM(G498),"Rs.",""),"INR",""),"₹",""),"â‚¹",""),"$","")," ",""),"")
)</f>
        <v>224611</v>
      </c>
      <c r="I498" s="1" t="str">
        <f t="shared" si="22"/>
        <v>Nill</v>
      </c>
      <c r="J498" s="1">
        <f t="shared" si="23"/>
        <v>224611</v>
      </c>
      <c r="K498" s="1" t="s">
        <v>172</v>
      </c>
      <c r="L498" s="1" t="s">
        <v>127</v>
      </c>
      <c r="M498" s="1" t="s">
        <v>14</v>
      </c>
      <c r="N498"/>
    </row>
    <row r="499" spans="1:14" x14ac:dyDescent="0.25">
      <c r="A499" s="1" t="s">
        <v>361</v>
      </c>
      <c r="B499" s="1" t="s">
        <v>362</v>
      </c>
      <c r="C499" s="1" t="s">
        <v>363</v>
      </c>
      <c r="D499" s="6">
        <f t="shared" si="21"/>
        <v>44495</v>
      </c>
      <c r="E499" s="1" t="s">
        <v>11</v>
      </c>
      <c r="F499" s="1" t="s">
        <v>69</v>
      </c>
      <c r="G499" s="1">
        <v>677</v>
      </c>
      <c r="H499" s="1" cm="1">
        <f t="array" ref="H499">IF(TRIM(G499)="",
   MEDIAN(IFERROR(--SUBSTITUTE(SUBSTITUTE(SUBSTITUTE(SUBSTITUTE(SUBSTITUTE(SUBSTITUTE(G$2:G$747,"Rs.",""),"INR",""),"₹",""),"â‚¹",""),"$","")," ",""),"")),
   IFERROR(--SUBSTITUTE(SUBSTITUTE(SUBSTITUTE(SUBSTITUTE(SUBSTITUTE(SUBSTITUTE(TRIM(G499),"Rs.",""),"INR",""),"₹",""),"â‚¹",""),"$","")," ",""),"")
)</f>
        <v>677</v>
      </c>
      <c r="I499" s="1">
        <f t="shared" si="22"/>
        <v>677</v>
      </c>
      <c r="J499" s="1" t="str">
        <f t="shared" si="23"/>
        <v>Nill</v>
      </c>
      <c r="K499" s="1" t="s">
        <v>25</v>
      </c>
      <c r="L499" s="1" t="s">
        <v>198</v>
      </c>
      <c r="M499" s="1" t="s">
        <v>179</v>
      </c>
      <c r="N499"/>
    </row>
    <row r="500" spans="1:14" x14ac:dyDescent="0.25">
      <c r="A500" s="1" t="s">
        <v>1140</v>
      </c>
      <c r="B500" s="1" t="s">
        <v>1141</v>
      </c>
      <c r="C500" s="5">
        <v>44282</v>
      </c>
      <c r="D500" s="6">
        <f t="shared" si="21"/>
        <v>44282</v>
      </c>
      <c r="E500" s="1" t="s">
        <v>11</v>
      </c>
      <c r="F500" s="1" t="s">
        <v>69</v>
      </c>
      <c r="G500" s="1" t="s">
        <v>1142</v>
      </c>
      <c r="H500" s="1" cm="1">
        <f t="array" ref="H500">IF(TRIM(G500)="",
   MEDIAN(IFERROR(--SUBSTITUTE(SUBSTITUTE(SUBSTITUTE(SUBSTITUTE(SUBSTITUTE(SUBSTITUTE(G$2:G$747,"Rs.",""),"INR",""),"₹",""),"â‚¹",""),"$","")," ",""),"")),
   IFERROR(--SUBSTITUTE(SUBSTITUTE(SUBSTITUTE(SUBSTITUTE(SUBSTITUTE(SUBSTITUTE(TRIM(G500),"Rs.",""),"INR",""),"₹",""),"â‚¹",""),"$","")," ",""),"")
)</f>
        <v>619</v>
      </c>
      <c r="I500" s="1">
        <f t="shared" si="22"/>
        <v>619</v>
      </c>
      <c r="J500" s="1" t="str">
        <f t="shared" si="23"/>
        <v>Nill</v>
      </c>
      <c r="K500" s="1" t="s">
        <v>12</v>
      </c>
      <c r="L500" s="1" t="s">
        <v>81</v>
      </c>
      <c r="M500" s="1" t="s">
        <v>255</v>
      </c>
      <c r="N500"/>
    </row>
    <row r="501" spans="1:14" x14ac:dyDescent="0.25">
      <c r="A501" s="1" t="s">
        <v>651</v>
      </c>
      <c r="B501" s="1" t="s">
        <v>99</v>
      </c>
      <c r="C501" s="5">
        <v>44415</v>
      </c>
      <c r="D501" s="6">
        <f t="shared" si="21"/>
        <v>44415</v>
      </c>
      <c r="E501" s="1" t="s">
        <v>11</v>
      </c>
      <c r="F501" s="1" t="s">
        <v>69</v>
      </c>
      <c r="G501" s="1">
        <v>7235</v>
      </c>
      <c r="H501" s="1" cm="1">
        <f t="array" ref="H501">IF(TRIM(G501)="",
   MEDIAN(IFERROR(--SUBSTITUTE(SUBSTITUTE(SUBSTITUTE(SUBSTITUTE(SUBSTITUTE(SUBSTITUTE(G$2:G$747,"Rs.",""),"INR",""),"₹",""),"â‚¹",""),"$","")," ",""),"")),
   IFERROR(--SUBSTITUTE(SUBSTITUTE(SUBSTITUTE(SUBSTITUTE(SUBSTITUTE(SUBSTITUTE(TRIM(G501),"Rs.",""),"INR",""),"₹",""),"â‚¹",""),"$","")," ",""),"")
)</f>
        <v>7235</v>
      </c>
      <c r="I501" s="1">
        <f t="shared" si="22"/>
        <v>7235</v>
      </c>
      <c r="J501" s="1" t="str">
        <f t="shared" si="23"/>
        <v>Nill</v>
      </c>
      <c r="K501" s="1" t="s">
        <v>12</v>
      </c>
      <c r="L501" s="1" t="s">
        <v>81</v>
      </c>
      <c r="M501" s="1" t="s">
        <v>35</v>
      </c>
      <c r="N501"/>
    </row>
    <row r="502" spans="1:14" x14ac:dyDescent="0.25">
      <c r="A502" s="1" t="s">
        <v>55</v>
      </c>
      <c r="B502" s="1" t="s">
        <v>56</v>
      </c>
      <c r="C502" s="5">
        <v>44666</v>
      </c>
      <c r="D502" s="6">
        <f t="shared" si="21"/>
        <v>44666</v>
      </c>
      <c r="E502" s="1" t="s">
        <v>11</v>
      </c>
      <c r="F502" s="1" t="s">
        <v>249</v>
      </c>
      <c r="H502" s="1" cm="1">
        <f t="array" ref="H502">IF(TRIM(G502)="",
   MEDIAN(IFERROR(--SUBSTITUTE(SUBSTITUTE(SUBSTITUTE(SUBSTITUTE(SUBSTITUTE(SUBSTITUTE(G$2:G$747,"Rs.",""),"INR",""),"₹",""),"â‚¹",""),"$","")," ",""),"")),
   IFERROR(--SUBSTITUTE(SUBSTITUTE(SUBSTITUTE(SUBSTITUTE(SUBSTITUTE(SUBSTITUTE(TRIM(G502),"Rs.",""),"INR",""),"₹",""),"â‚¹",""),"$","")," ",""),"")
)</f>
        <v>5935</v>
      </c>
      <c r="I502" s="1">
        <f t="shared" si="22"/>
        <v>5935</v>
      </c>
      <c r="J502" s="1" t="str">
        <f t="shared" si="23"/>
        <v>Nill</v>
      </c>
      <c r="K502" s="1" t="s">
        <v>12</v>
      </c>
      <c r="L502" s="1" t="s">
        <v>127</v>
      </c>
      <c r="M502" s="1" t="s">
        <v>1253</v>
      </c>
      <c r="N502"/>
    </row>
    <row r="503" spans="1:14" x14ac:dyDescent="0.25">
      <c r="A503" s="1" t="s">
        <v>712</v>
      </c>
      <c r="B503" s="1" t="s">
        <v>376</v>
      </c>
      <c r="C503" s="5">
        <v>45393</v>
      </c>
      <c r="D503" s="6">
        <f t="shared" si="21"/>
        <v>45393</v>
      </c>
      <c r="E503" s="1" t="s">
        <v>11</v>
      </c>
      <c r="F503" s="1" t="s">
        <v>104</v>
      </c>
      <c r="G503" s="1">
        <v>6832</v>
      </c>
      <c r="H503" s="1" cm="1">
        <f t="array" ref="H503">IF(TRIM(G503)="",
   MEDIAN(IFERROR(--SUBSTITUTE(SUBSTITUTE(SUBSTITUTE(SUBSTITUTE(SUBSTITUTE(SUBSTITUTE(G$2:G$747,"Rs.",""),"INR",""),"₹",""),"â‚¹",""),"$","")," ",""),"")),
   IFERROR(--SUBSTITUTE(SUBSTITUTE(SUBSTITUTE(SUBSTITUTE(SUBSTITUTE(SUBSTITUTE(TRIM(G503),"Rs.",""),"INR",""),"₹",""),"â‚¹",""),"$","")," ",""),"")
)</f>
        <v>6832</v>
      </c>
      <c r="I503" s="1">
        <f t="shared" si="22"/>
        <v>6832</v>
      </c>
      <c r="J503" s="1" t="str">
        <f t="shared" si="23"/>
        <v>Nill</v>
      </c>
      <c r="K503" s="1" t="s">
        <v>261</v>
      </c>
      <c r="L503" s="1" t="s">
        <v>97</v>
      </c>
      <c r="M503" s="1" t="s">
        <v>252</v>
      </c>
      <c r="N503"/>
    </row>
    <row r="504" spans="1:14" x14ac:dyDescent="0.25">
      <c r="A504" s="1" t="s">
        <v>1080</v>
      </c>
      <c r="B504" s="1" t="s">
        <v>181</v>
      </c>
      <c r="C504" s="5">
        <v>44588</v>
      </c>
      <c r="D504" s="6">
        <f t="shared" si="21"/>
        <v>44588</v>
      </c>
      <c r="E504" s="1" t="s">
        <v>11</v>
      </c>
      <c r="F504" s="1" t="s">
        <v>52</v>
      </c>
      <c r="G504" s="1" t="s">
        <v>1081</v>
      </c>
      <c r="H504" s="1" cm="1">
        <f t="array" ref="H504">IF(TRIM(G504)="",
   MEDIAN(IFERROR(--SUBSTITUTE(SUBSTITUTE(SUBSTITUTE(SUBSTITUTE(SUBSTITUTE(SUBSTITUTE(G$2:G$747,"Rs.",""),"INR",""),"₹",""),"â‚¹",""),"$","")," ",""),"")),
   IFERROR(--SUBSTITUTE(SUBSTITUTE(SUBSTITUTE(SUBSTITUTE(SUBSTITUTE(SUBSTITUTE(TRIM(G504),"Rs.",""),"INR",""),"₹",""),"â‚¹",""),"$","")," ",""),"")
)</f>
        <v>7687</v>
      </c>
      <c r="I504" s="1">
        <f t="shared" si="22"/>
        <v>7687</v>
      </c>
      <c r="J504" s="1" t="str">
        <f t="shared" si="23"/>
        <v>Nill</v>
      </c>
      <c r="K504" s="1" t="s">
        <v>138</v>
      </c>
      <c r="L504" s="1" t="s">
        <v>127</v>
      </c>
      <c r="M504" s="1" t="s">
        <v>1253</v>
      </c>
      <c r="N504"/>
    </row>
    <row r="505" spans="1:14" x14ac:dyDescent="0.25">
      <c r="A505" s="1" t="s">
        <v>139</v>
      </c>
      <c r="B505" s="1" t="s">
        <v>140</v>
      </c>
      <c r="C505" s="5">
        <v>44250</v>
      </c>
      <c r="D505" s="6">
        <f t="shared" si="21"/>
        <v>44250</v>
      </c>
      <c r="E505" s="1" t="s">
        <v>11</v>
      </c>
      <c r="F505" s="1" t="s">
        <v>465</v>
      </c>
      <c r="G505" s="1">
        <v>8497</v>
      </c>
      <c r="H505" s="1" cm="1">
        <f t="array" ref="H505">IF(TRIM(G505)="",
   MEDIAN(IFERROR(--SUBSTITUTE(SUBSTITUTE(SUBSTITUTE(SUBSTITUTE(SUBSTITUTE(SUBSTITUTE(G$2:G$747,"Rs.",""),"INR",""),"₹",""),"â‚¹",""),"$","")," ",""),"")),
   IFERROR(--SUBSTITUTE(SUBSTITUTE(SUBSTITUTE(SUBSTITUTE(SUBSTITUTE(SUBSTITUTE(TRIM(G505),"Rs.",""),"INR",""),"₹",""),"â‚¹",""),"$","")," ",""),"")
)</f>
        <v>8497</v>
      </c>
      <c r="I505" s="1">
        <f t="shared" si="22"/>
        <v>8497</v>
      </c>
      <c r="J505" s="1" t="str">
        <f t="shared" si="23"/>
        <v>Nill</v>
      </c>
      <c r="K505" s="1" t="s">
        <v>1253</v>
      </c>
      <c r="L505" s="1" t="s">
        <v>217</v>
      </c>
      <c r="M505" s="1" t="s">
        <v>54</v>
      </c>
      <c r="N505"/>
    </row>
    <row r="506" spans="1:14" x14ac:dyDescent="0.25">
      <c r="A506" s="1" t="s">
        <v>647</v>
      </c>
      <c r="B506" s="1" t="s">
        <v>216</v>
      </c>
      <c r="C506" s="1" t="s">
        <v>648</v>
      </c>
      <c r="D506" s="6">
        <f t="shared" si="21"/>
        <v>44942</v>
      </c>
      <c r="E506" s="1" t="s">
        <v>20</v>
      </c>
      <c r="F506" s="1" t="s">
        <v>239</v>
      </c>
      <c r="G506" s="1">
        <v>178518</v>
      </c>
      <c r="H506" s="1" cm="1">
        <f t="array" ref="H506">IF(TRIM(G506)="",
   MEDIAN(IFERROR(--SUBSTITUTE(SUBSTITUTE(SUBSTITUTE(SUBSTITUTE(SUBSTITUTE(SUBSTITUTE(G$2:G$747,"Rs.",""),"INR",""),"₹",""),"â‚¹",""),"$","")," ",""),"")),
   IFERROR(--SUBSTITUTE(SUBSTITUTE(SUBSTITUTE(SUBSTITUTE(SUBSTITUTE(SUBSTITUTE(TRIM(G506),"Rs.",""),"INR",""),"₹",""),"â‚¹",""),"$","")," ",""),"")
)</f>
        <v>178518</v>
      </c>
      <c r="I506" s="1" t="str">
        <f t="shared" si="22"/>
        <v>Nill</v>
      </c>
      <c r="J506" s="1">
        <f t="shared" si="23"/>
        <v>178518</v>
      </c>
      <c r="K506" s="1" t="s">
        <v>25</v>
      </c>
      <c r="L506" s="1" t="s">
        <v>167</v>
      </c>
      <c r="M506" s="1" t="s">
        <v>117</v>
      </c>
      <c r="N506"/>
    </row>
    <row r="507" spans="1:14" x14ac:dyDescent="0.25">
      <c r="A507" s="1" t="s">
        <v>749</v>
      </c>
      <c r="B507" s="1" t="s">
        <v>457</v>
      </c>
      <c r="C507" s="5">
        <v>44995</v>
      </c>
      <c r="D507" s="6">
        <f t="shared" si="21"/>
        <v>44995</v>
      </c>
      <c r="E507" s="1" t="s">
        <v>20</v>
      </c>
      <c r="F507" s="1" t="s">
        <v>1253</v>
      </c>
      <c r="G507" s="1">
        <v>61598</v>
      </c>
      <c r="H507" s="1" cm="1">
        <f t="array" ref="H507">IF(TRIM(G507)="",
   MEDIAN(IFERROR(--SUBSTITUTE(SUBSTITUTE(SUBSTITUTE(SUBSTITUTE(SUBSTITUTE(SUBSTITUTE(G$2:G$747,"Rs.",""),"INR",""),"₹",""),"â‚¹",""),"$","")," ",""),"")),
   IFERROR(--SUBSTITUTE(SUBSTITUTE(SUBSTITUTE(SUBSTITUTE(SUBSTITUTE(SUBSTITUTE(TRIM(G507),"Rs.",""),"INR",""),"₹",""),"â‚¹",""),"$","")," ",""),"")
)</f>
        <v>61598</v>
      </c>
      <c r="I507" s="1" t="str">
        <f t="shared" si="22"/>
        <v>Nill</v>
      </c>
      <c r="J507" s="1">
        <f t="shared" si="23"/>
        <v>61598</v>
      </c>
      <c r="K507" s="1" t="s">
        <v>138</v>
      </c>
      <c r="L507" s="1" t="s">
        <v>299</v>
      </c>
      <c r="M507" s="1" t="s">
        <v>179</v>
      </c>
      <c r="N507"/>
    </row>
    <row r="508" spans="1:14" x14ac:dyDescent="0.25">
      <c r="A508" s="1" t="s">
        <v>944</v>
      </c>
      <c r="B508" s="1" t="s">
        <v>657</v>
      </c>
      <c r="C508" s="5">
        <v>45274</v>
      </c>
      <c r="D508" s="6">
        <f t="shared" si="21"/>
        <v>45274</v>
      </c>
      <c r="E508" s="1" t="s">
        <v>11</v>
      </c>
      <c r="F508" s="1" t="s">
        <v>69</v>
      </c>
      <c r="G508" s="1">
        <v>3903</v>
      </c>
      <c r="H508" s="1" cm="1">
        <f t="array" ref="H508">IF(TRIM(G508)="",
   MEDIAN(IFERROR(--SUBSTITUTE(SUBSTITUTE(SUBSTITUTE(SUBSTITUTE(SUBSTITUTE(SUBSTITUTE(G$2:G$747,"Rs.",""),"INR",""),"₹",""),"â‚¹",""),"$","")," ",""),"")),
   IFERROR(--SUBSTITUTE(SUBSTITUTE(SUBSTITUTE(SUBSTITUTE(SUBSTITUTE(SUBSTITUTE(TRIM(G508),"Rs.",""),"INR",""),"₹",""),"â‚¹",""),"$","")," ",""),"")
)</f>
        <v>3903</v>
      </c>
      <c r="I508" s="1">
        <f t="shared" si="22"/>
        <v>3903</v>
      </c>
      <c r="J508" s="1" t="str">
        <f t="shared" si="23"/>
        <v>Nill</v>
      </c>
      <c r="K508" s="1" t="s">
        <v>138</v>
      </c>
      <c r="L508" s="1" t="s">
        <v>127</v>
      </c>
      <c r="M508" s="1" t="s">
        <v>49</v>
      </c>
      <c r="N508"/>
    </row>
    <row r="509" spans="1:14" x14ac:dyDescent="0.25">
      <c r="A509" s="1" t="s">
        <v>920</v>
      </c>
      <c r="B509" s="1" t="s">
        <v>142</v>
      </c>
      <c r="C509" s="5">
        <v>44582</v>
      </c>
      <c r="D509" s="6">
        <f t="shared" si="21"/>
        <v>44582</v>
      </c>
      <c r="E509" s="1" t="s">
        <v>11</v>
      </c>
      <c r="F509" s="1" t="s">
        <v>69</v>
      </c>
      <c r="G509" s="1">
        <v>1099</v>
      </c>
      <c r="H509" s="1" cm="1">
        <f t="array" ref="H509">IF(TRIM(G509)="",
   MEDIAN(IFERROR(--SUBSTITUTE(SUBSTITUTE(SUBSTITUTE(SUBSTITUTE(SUBSTITUTE(SUBSTITUTE(G$2:G$747,"Rs.",""),"INR",""),"₹",""),"â‚¹",""),"$","")," ",""),"")),
   IFERROR(--SUBSTITUTE(SUBSTITUTE(SUBSTITUTE(SUBSTITUTE(SUBSTITUTE(SUBSTITUTE(TRIM(G509),"Rs.",""),"INR",""),"₹",""),"â‚¹",""),"$","")," ",""),"")
)</f>
        <v>1099</v>
      </c>
      <c r="I509" s="1">
        <f t="shared" si="22"/>
        <v>1099</v>
      </c>
      <c r="J509" s="1" t="str">
        <f t="shared" si="23"/>
        <v>Nill</v>
      </c>
      <c r="K509" s="1" t="s">
        <v>25</v>
      </c>
      <c r="L509" s="1" t="s">
        <v>40</v>
      </c>
      <c r="M509" s="1" t="s">
        <v>22</v>
      </c>
      <c r="N509"/>
    </row>
    <row r="510" spans="1:14" x14ac:dyDescent="0.25">
      <c r="A510" s="1" t="s">
        <v>839</v>
      </c>
      <c r="B510" s="1" t="s">
        <v>509</v>
      </c>
      <c r="C510" s="5">
        <v>45629</v>
      </c>
      <c r="D510" s="6">
        <f t="shared" si="21"/>
        <v>45629</v>
      </c>
      <c r="E510" s="1" t="s">
        <v>11</v>
      </c>
      <c r="F510" s="1" t="s">
        <v>1253</v>
      </c>
      <c r="G510" s="1">
        <v>9556</v>
      </c>
      <c r="H510" s="1" cm="1">
        <f t="array" ref="H510">IF(TRIM(G510)="",
   MEDIAN(IFERROR(--SUBSTITUTE(SUBSTITUTE(SUBSTITUTE(SUBSTITUTE(SUBSTITUTE(SUBSTITUTE(G$2:G$747,"Rs.",""),"INR",""),"₹",""),"â‚¹",""),"$","")," ",""),"")),
   IFERROR(--SUBSTITUTE(SUBSTITUTE(SUBSTITUTE(SUBSTITUTE(SUBSTITUTE(SUBSTITUTE(TRIM(G510),"Rs.",""),"INR",""),"₹",""),"â‚¹",""),"$","")," ",""),"")
)</f>
        <v>9556</v>
      </c>
      <c r="I510" s="1">
        <f t="shared" si="22"/>
        <v>9556</v>
      </c>
      <c r="J510" s="1" t="str">
        <f t="shared" si="23"/>
        <v>Nill</v>
      </c>
      <c r="K510" s="1" t="s">
        <v>25</v>
      </c>
      <c r="L510" s="1" t="s">
        <v>40</v>
      </c>
      <c r="M510" s="1" t="s">
        <v>1253</v>
      </c>
      <c r="N510"/>
    </row>
    <row r="511" spans="1:14" x14ac:dyDescent="0.25">
      <c r="A511" s="1" t="s">
        <v>533</v>
      </c>
      <c r="B511" s="1" t="s">
        <v>46</v>
      </c>
      <c r="C511" s="5">
        <v>44502</v>
      </c>
      <c r="D511" s="6">
        <f t="shared" si="21"/>
        <v>44502</v>
      </c>
      <c r="E511" s="1" t="s">
        <v>20</v>
      </c>
      <c r="F511" s="1" t="s">
        <v>52</v>
      </c>
      <c r="G511" s="1" t="s">
        <v>534</v>
      </c>
      <c r="H511" s="1" cm="1">
        <f t="array" ref="H511">IF(TRIM(G511)="",
   MEDIAN(IFERROR(--SUBSTITUTE(SUBSTITUTE(SUBSTITUTE(SUBSTITUTE(SUBSTITUTE(SUBSTITUTE(G$2:G$747,"Rs.",""),"INR",""),"₹",""),"â‚¹",""),"$","")," ",""),"")),
   IFERROR(--SUBSTITUTE(SUBSTITUTE(SUBSTITUTE(SUBSTITUTE(SUBSTITUTE(SUBSTITUTE(TRIM(G511),"Rs.",""),"INR",""),"₹",""),"â‚¹",""),"$","")," ",""),"")
)</f>
        <v>13131</v>
      </c>
      <c r="I511" s="1" t="str">
        <f t="shared" si="22"/>
        <v>Nill</v>
      </c>
      <c r="J511" s="1">
        <f t="shared" si="23"/>
        <v>13131</v>
      </c>
      <c r="K511" s="1" t="s">
        <v>31</v>
      </c>
      <c r="L511" s="1" t="s">
        <v>40</v>
      </c>
      <c r="M511" s="1" t="s">
        <v>252</v>
      </c>
      <c r="N511"/>
    </row>
    <row r="512" spans="1:14" x14ac:dyDescent="0.25">
      <c r="A512" s="1" t="s">
        <v>705</v>
      </c>
      <c r="B512" s="1" t="s">
        <v>43</v>
      </c>
      <c r="C512" s="5">
        <v>44785</v>
      </c>
      <c r="D512" s="6">
        <f t="shared" si="21"/>
        <v>44785</v>
      </c>
      <c r="E512" s="1" t="s">
        <v>20</v>
      </c>
      <c r="F512" s="1" t="s">
        <v>112</v>
      </c>
      <c r="G512" s="1">
        <v>49098</v>
      </c>
      <c r="H512" s="1" cm="1">
        <f t="array" ref="H512">IF(TRIM(G512)="",
   MEDIAN(IFERROR(--SUBSTITUTE(SUBSTITUTE(SUBSTITUTE(SUBSTITUTE(SUBSTITUTE(SUBSTITUTE(G$2:G$747,"Rs.",""),"INR",""),"₹",""),"â‚¹",""),"$","")," ",""),"")),
   IFERROR(--SUBSTITUTE(SUBSTITUTE(SUBSTITUTE(SUBSTITUTE(SUBSTITUTE(SUBSTITUTE(TRIM(G512),"Rs.",""),"INR",""),"₹",""),"â‚¹",""),"$","")," ",""),"")
)</f>
        <v>49098</v>
      </c>
      <c r="I512" s="1" t="str">
        <f t="shared" si="22"/>
        <v>Nill</v>
      </c>
      <c r="J512" s="1">
        <f t="shared" si="23"/>
        <v>49098</v>
      </c>
      <c r="K512" s="1" t="s">
        <v>261</v>
      </c>
      <c r="L512" s="1" t="s">
        <v>299</v>
      </c>
      <c r="M512" s="1" t="s">
        <v>1253</v>
      </c>
      <c r="N512"/>
    </row>
    <row r="513" spans="1:14" x14ac:dyDescent="0.25">
      <c r="A513" s="1" t="s">
        <v>1033</v>
      </c>
      <c r="B513" s="1" t="s">
        <v>340</v>
      </c>
      <c r="C513" s="5">
        <v>45035</v>
      </c>
      <c r="D513" s="6">
        <f t="shared" si="21"/>
        <v>45035</v>
      </c>
      <c r="E513" s="1" t="s">
        <v>11</v>
      </c>
      <c r="F513" s="1" t="s">
        <v>69</v>
      </c>
      <c r="G513" s="1">
        <v>4677</v>
      </c>
      <c r="H513" s="1" cm="1">
        <f t="array" ref="H513">IF(TRIM(G513)="",
   MEDIAN(IFERROR(--SUBSTITUTE(SUBSTITUTE(SUBSTITUTE(SUBSTITUTE(SUBSTITUTE(SUBSTITUTE(G$2:G$747,"Rs.",""),"INR",""),"₹",""),"â‚¹",""),"$","")," ",""),"")),
   IFERROR(--SUBSTITUTE(SUBSTITUTE(SUBSTITUTE(SUBSTITUTE(SUBSTITUTE(SUBSTITUTE(TRIM(G513),"Rs.",""),"INR",""),"₹",""),"â‚¹",""),"$","")," ",""),"")
)</f>
        <v>4677</v>
      </c>
      <c r="I513" s="1">
        <f t="shared" si="22"/>
        <v>4677</v>
      </c>
      <c r="J513" s="1" t="str">
        <f t="shared" si="23"/>
        <v>Nill</v>
      </c>
      <c r="K513" s="1" t="s">
        <v>31</v>
      </c>
      <c r="L513" s="1" t="s">
        <v>97</v>
      </c>
      <c r="M513" s="1" t="s">
        <v>190</v>
      </c>
      <c r="N513"/>
    </row>
    <row r="514" spans="1:14" x14ac:dyDescent="0.25">
      <c r="A514" s="1" t="s">
        <v>973</v>
      </c>
      <c r="B514" s="1" t="s">
        <v>407</v>
      </c>
      <c r="C514" s="5">
        <v>44436</v>
      </c>
      <c r="D514" s="6">
        <f t="shared" ref="D514:D577" si="24">IF(ISBLANK(C514),("unknown"),IF(ISNUMBER(C514),C514,DATE(RIGHT(C514,4),LEFT(C514,2),MID(C514,4,2))))</f>
        <v>44436</v>
      </c>
      <c r="E514" s="1" t="s">
        <v>11</v>
      </c>
      <c r="F514" s="1" t="s">
        <v>465</v>
      </c>
      <c r="G514" s="1">
        <v>1008</v>
      </c>
      <c r="H514" s="1" cm="1">
        <f t="array" ref="H514">IF(TRIM(G514)="",
   MEDIAN(IFERROR(--SUBSTITUTE(SUBSTITUTE(SUBSTITUTE(SUBSTITUTE(SUBSTITUTE(SUBSTITUTE(G$2:G$747,"Rs.",""),"INR",""),"₹",""),"â‚¹",""),"$","")," ",""),"")),
   IFERROR(--SUBSTITUTE(SUBSTITUTE(SUBSTITUTE(SUBSTITUTE(SUBSTITUTE(SUBSTITUTE(TRIM(G514),"Rs.",""),"INR",""),"₹",""),"â‚¹",""),"$","")," ",""),"")
)</f>
        <v>1008</v>
      </c>
      <c r="I514" s="1">
        <f t="shared" ref="I514:I577" si="25">IF(E514="Expense",H514,"Nill")</f>
        <v>1008</v>
      </c>
      <c r="J514" s="1" t="str">
        <f t="shared" ref="J514:J577" si="26">IF(E514="Income",H514,"Nill")</f>
        <v>Nill</v>
      </c>
      <c r="K514" s="1" t="s">
        <v>172</v>
      </c>
      <c r="L514" s="1" t="s">
        <v>97</v>
      </c>
      <c r="M514" s="1" t="s">
        <v>179</v>
      </c>
      <c r="N514"/>
    </row>
    <row r="515" spans="1:14" x14ac:dyDescent="0.25">
      <c r="A515" s="1" t="s">
        <v>553</v>
      </c>
      <c r="B515" s="1" t="s">
        <v>222</v>
      </c>
      <c r="C515" s="5">
        <v>45235</v>
      </c>
      <c r="D515" s="6">
        <f t="shared" si="24"/>
        <v>45235</v>
      </c>
      <c r="E515" s="1" t="s">
        <v>11</v>
      </c>
      <c r="F515" s="1" t="s">
        <v>69</v>
      </c>
      <c r="G515" s="1">
        <v>5292</v>
      </c>
      <c r="H515" s="1" cm="1">
        <f t="array" ref="H515">IF(TRIM(G515)="",
   MEDIAN(IFERROR(--SUBSTITUTE(SUBSTITUTE(SUBSTITUTE(SUBSTITUTE(SUBSTITUTE(SUBSTITUTE(G$2:G$747,"Rs.",""),"INR",""),"₹",""),"â‚¹",""),"$","")," ",""),"")),
   IFERROR(--SUBSTITUTE(SUBSTITUTE(SUBSTITUTE(SUBSTITUTE(SUBSTITUTE(SUBSTITUTE(TRIM(G515),"Rs.",""),"INR",""),"₹",""),"â‚¹",""),"$","")," ",""),"")
)</f>
        <v>5292</v>
      </c>
      <c r="I515" s="1">
        <f t="shared" si="25"/>
        <v>5292</v>
      </c>
      <c r="J515" s="1" t="str">
        <f t="shared" si="26"/>
        <v>Nill</v>
      </c>
      <c r="K515" s="1" t="s">
        <v>25</v>
      </c>
      <c r="L515" s="1" t="s">
        <v>17</v>
      </c>
      <c r="M515" s="1" t="s">
        <v>54</v>
      </c>
      <c r="N515"/>
    </row>
    <row r="516" spans="1:14" x14ac:dyDescent="0.25">
      <c r="A516" s="1" t="s">
        <v>490</v>
      </c>
      <c r="B516" s="1" t="s">
        <v>431</v>
      </c>
      <c r="C516" s="1" t="s">
        <v>491</v>
      </c>
      <c r="D516" s="6">
        <f t="shared" si="24"/>
        <v>45402</v>
      </c>
      <c r="E516" s="1" t="s">
        <v>11</v>
      </c>
      <c r="F516" s="1" t="s">
        <v>69</v>
      </c>
      <c r="G516" s="1">
        <v>5918</v>
      </c>
      <c r="H516" s="1" cm="1">
        <f t="array" ref="H516">IF(TRIM(G516)="",
   MEDIAN(IFERROR(--SUBSTITUTE(SUBSTITUTE(SUBSTITUTE(SUBSTITUTE(SUBSTITUTE(SUBSTITUTE(G$2:G$747,"Rs.",""),"INR",""),"₹",""),"â‚¹",""),"$","")," ",""),"")),
   IFERROR(--SUBSTITUTE(SUBSTITUTE(SUBSTITUTE(SUBSTITUTE(SUBSTITUTE(SUBSTITUTE(TRIM(G516),"Rs.",""),"INR",""),"₹",""),"â‚¹",""),"$","")," ",""),"")
)</f>
        <v>5918</v>
      </c>
      <c r="I516" s="1">
        <f t="shared" si="25"/>
        <v>5918</v>
      </c>
      <c r="J516" s="1" t="str">
        <f t="shared" si="26"/>
        <v>Nill</v>
      </c>
      <c r="K516" s="1" t="s">
        <v>75</v>
      </c>
      <c r="L516" s="1" t="s">
        <v>167</v>
      </c>
      <c r="M516" s="1" t="s">
        <v>1253</v>
      </c>
      <c r="N516"/>
    </row>
    <row r="517" spans="1:14" x14ac:dyDescent="0.25">
      <c r="A517" s="1" t="s">
        <v>943</v>
      </c>
      <c r="B517" s="1" t="s">
        <v>10</v>
      </c>
      <c r="C517" s="5">
        <v>44483</v>
      </c>
      <c r="D517" s="6">
        <f t="shared" si="24"/>
        <v>44483</v>
      </c>
      <c r="E517" s="1" t="s">
        <v>11</v>
      </c>
      <c r="F517" s="1" t="s">
        <v>85</v>
      </c>
      <c r="G517" s="1">
        <v>0</v>
      </c>
      <c r="H517" s="1" cm="1">
        <f t="array" ref="H517">IF(TRIM(G517)="",
   MEDIAN(IFERROR(--SUBSTITUTE(SUBSTITUTE(SUBSTITUTE(SUBSTITUTE(SUBSTITUTE(SUBSTITUTE(G$2:G$747,"Rs.",""),"INR",""),"₹",""),"â‚¹",""),"$","")," ",""),"")),
   IFERROR(--SUBSTITUTE(SUBSTITUTE(SUBSTITUTE(SUBSTITUTE(SUBSTITUTE(SUBSTITUTE(TRIM(G517),"Rs.",""),"INR",""),"₹",""),"â‚¹",""),"$","")," ",""),"")
)</f>
        <v>0</v>
      </c>
      <c r="I517" s="1">
        <f t="shared" si="25"/>
        <v>0</v>
      </c>
      <c r="J517" s="1" t="str">
        <f t="shared" si="26"/>
        <v>Nill</v>
      </c>
      <c r="K517" s="1" t="s">
        <v>25</v>
      </c>
      <c r="L517" s="1" t="s">
        <v>97</v>
      </c>
      <c r="M517" s="1" t="s">
        <v>70</v>
      </c>
      <c r="N517"/>
    </row>
    <row r="518" spans="1:14" x14ac:dyDescent="0.25">
      <c r="A518" s="1" t="s">
        <v>691</v>
      </c>
      <c r="B518" s="1" t="s">
        <v>431</v>
      </c>
      <c r="C518" s="5">
        <v>44226</v>
      </c>
      <c r="D518" s="6">
        <f t="shared" si="24"/>
        <v>44226</v>
      </c>
      <c r="E518" s="1" t="s">
        <v>11</v>
      </c>
      <c r="F518" s="1" t="s">
        <v>171</v>
      </c>
      <c r="G518" s="1">
        <v>45894</v>
      </c>
      <c r="H518" s="1" cm="1">
        <f t="array" ref="H518">IF(TRIM(G518)="",
   MEDIAN(IFERROR(--SUBSTITUTE(SUBSTITUTE(SUBSTITUTE(SUBSTITUTE(SUBSTITUTE(SUBSTITUTE(G$2:G$747,"Rs.",""),"INR",""),"₹",""),"â‚¹",""),"$","")," ",""),"")),
   IFERROR(--SUBSTITUTE(SUBSTITUTE(SUBSTITUTE(SUBSTITUTE(SUBSTITUTE(SUBSTITUTE(TRIM(G518),"Rs.",""),"INR",""),"₹",""),"â‚¹",""),"$","")," ",""),"")
)</f>
        <v>45894</v>
      </c>
      <c r="I518" s="1">
        <f t="shared" si="25"/>
        <v>45894</v>
      </c>
      <c r="J518" s="1" t="str">
        <f t="shared" si="26"/>
        <v>Nill</v>
      </c>
      <c r="K518" s="1" t="s">
        <v>25</v>
      </c>
      <c r="L518" s="1" t="s">
        <v>198</v>
      </c>
      <c r="M518" s="1" t="s">
        <v>210</v>
      </c>
      <c r="N518"/>
    </row>
    <row r="519" spans="1:14" x14ac:dyDescent="0.25">
      <c r="A519" s="1" t="s">
        <v>1040</v>
      </c>
      <c r="B519" s="1" t="s">
        <v>195</v>
      </c>
      <c r="C519" s="5">
        <v>45083</v>
      </c>
      <c r="D519" s="6">
        <f t="shared" si="24"/>
        <v>45083</v>
      </c>
      <c r="E519" s="1" t="s">
        <v>11</v>
      </c>
      <c r="F519" s="1" t="s">
        <v>465</v>
      </c>
      <c r="G519" s="1">
        <v>8757</v>
      </c>
      <c r="H519" s="1" cm="1">
        <f t="array" ref="H519">IF(TRIM(G519)="",
   MEDIAN(IFERROR(--SUBSTITUTE(SUBSTITUTE(SUBSTITUTE(SUBSTITUTE(SUBSTITUTE(SUBSTITUTE(G$2:G$747,"Rs.",""),"INR",""),"₹",""),"â‚¹",""),"$","")," ",""),"")),
   IFERROR(--SUBSTITUTE(SUBSTITUTE(SUBSTITUTE(SUBSTITUTE(SUBSTITUTE(SUBSTITUTE(TRIM(G519),"Rs.",""),"INR",""),"₹",""),"â‚¹",""),"$","")," ",""),"")
)</f>
        <v>8757</v>
      </c>
      <c r="I519" s="1">
        <f t="shared" si="25"/>
        <v>8757</v>
      </c>
      <c r="J519" s="1" t="str">
        <f t="shared" si="26"/>
        <v>Nill</v>
      </c>
      <c r="K519" s="1" t="s">
        <v>25</v>
      </c>
      <c r="L519" s="1" t="s">
        <v>13</v>
      </c>
      <c r="M519" s="1" t="s">
        <v>1253</v>
      </c>
      <c r="N519"/>
    </row>
    <row r="520" spans="1:14" x14ac:dyDescent="0.25">
      <c r="A520" s="1" t="s">
        <v>739</v>
      </c>
      <c r="B520" s="1" t="s">
        <v>201</v>
      </c>
      <c r="C520" s="5">
        <v>45009</v>
      </c>
      <c r="D520" s="6">
        <f t="shared" si="24"/>
        <v>45009</v>
      </c>
      <c r="E520" s="1" t="s">
        <v>11</v>
      </c>
      <c r="F520" s="1" t="s">
        <v>465</v>
      </c>
      <c r="G520" s="1">
        <v>1606</v>
      </c>
      <c r="H520" s="1" cm="1">
        <f t="array" ref="H520">IF(TRIM(G520)="",
   MEDIAN(IFERROR(--SUBSTITUTE(SUBSTITUTE(SUBSTITUTE(SUBSTITUTE(SUBSTITUTE(SUBSTITUTE(G$2:G$747,"Rs.",""),"INR",""),"₹",""),"â‚¹",""),"$","")," ",""),"")),
   IFERROR(--SUBSTITUTE(SUBSTITUTE(SUBSTITUTE(SUBSTITUTE(SUBSTITUTE(SUBSTITUTE(TRIM(G520),"Rs.",""),"INR",""),"₹",""),"â‚¹",""),"$","")," ",""),"")
)</f>
        <v>1606</v>
      </c>
      <c r="I520" s="1">
        <f t="shared" si="25"/>
        <v>1606</v>
      </c>
      <c r="J520" s="1" t="str">
        <f t="shared" si="26"/>
        <v>Nill</v>
      </c>
      <c r="K520" s="1" t="s">
        <v>48</v>
      </c>
      <c r="L520" s="1" t="s">
        <v>40</v>
      </c>
      <c r="M520" s="1" t="s">
        <v>252</v>
      </c>
      <c r="N520"/>
    </row>
    <row r="521" spans="1:14" x14ac:dyDescent="0.25">
      <c r="A521" s="1" t="s">
        <v>492</v>
      </c>
      <c r="B521" s="1" t="s">
        <v>442</v>
      </c>
      <c r="C521" s="5">
        <v>45414</v>
      </c>
      <c r="D521" s="6">
        <f t="shared" si="24"/>
        <v>45414</v>
      </c>
      <c r="E521" s="1" t="s">
        <v>20</v>
      </c>
      <c r="F521" s="1" t="s">
        <v>112</v>
      </c>
      <c r="G521" s="1">
        <v>73830</v>
      </c>
      <c r="H521" s="1" cm="1">
        <f t="array" ref="H521">IF(TRIM(G521)="",
   MEDIAN(IFERROR(--SUBSTITUTE(SUBSTITUTE(SUBSTITUTE(SUBSTITUTE(SUBSTITUTE(SUBSTITUTE(G$2:G$747,"Rs.",""),"INR",""),"₹",""),"â‚¹",""),"$","")," ",""),"")),
   IFERROR(--SUBSTITUTE(SUBSTITUTE(SUBSTITUTE(SUBSTITUTE(SUBSTITUTE(SUBSTITUTE(TRIM(G521),"Rs.",""),"INR",""),"₹",""),"â‚¹",""),"$","")," ",""),"")
)</f>
        <v>73830</v>
      </c>
      <c r="I521" s="1" t="str">
        <f t="shared" si="25"/>
        <v>Nill</v>
      </c>
      <c r="J521" s="1">
        <f t="shared" si="26"/>
        <v>73830</v>
      </c>
      <c r="K521" s="1" t="s">
        <v>87</v>
      </c>
      <c r="L521" s="1" t="s">
        <v>167</v>
      </c>
      <c r="M521" s="1" t="s">
        <v>1253</v>
      </c>
      <c r="N521"/>
    </row>
    <row r="522" spans="1:14" x14ac:dyDescent="0.25">
      <c r="A522" s="1" t="s">
        <v>982</v>
      </c>
      <c r="B522" s="1" t="s">
        <v>150</v>
      </c>
      <c r="C522" s="5">
        <v>45056</v>
      </c>
      <c r="D522" s="6">
        <f t="shared" si="24"/>
        <v>45056</v>
      </c>
      <c r="E522" s="1" t="s">
        <v>11</v>
      </c>
      <c r="F522" s="1" t="s">
        <v>465</v>
      </c>
      <c r="G522" s="1" t="s">
        <v>983</v>
      </c>
      <c r="H522" s="1" cm="1">
        <f t="array" ref="H522">IF(TRIM(G522)="",
   MEDIAN(IFERROR(--SUBSTITUTE(SUBSTITUTE(SUBSTITUTE(SUBSTITUTE(SUBSTITUTE(SUBSTITUTE(G$2:G$747,"Rs.",""),"INR",""),"₹",""),"â‚¹",""),"$","")," ",""),"")),
   IFERROR(--SUBSTITUTE(SUBSTITUTE(SUBSTITUTE(SUBSTITUTE(SUBSTITUTE(SUBSTITUTE(TRIM(G522),"Rs.",""),"INR",""),"₹",""),"â‚¹",""),"$","")," ",""),"")
)</f>
        <v>984</v>
      </c>
      <c r="I522" s="1">
        <f t="shared" si="25"/>
        <v>984</v>
      </c>
      <c r="J522" s="1" t="str">
        <f t="shared" si="26"/>
        <v>Nill</v>
      </c>
      <c r="K522" s="1" t="s">
        <v>110</v>
      </c>
      <c r="L522" s="1" t="s">
        <v>81</v>
      </c>
      <c r="M522" s="1" t="s">
        <v>128</v>
      </c>
      <c r="N522"/>
    </row>
    <row r="523" spans="1:14" x14ac:dyDescent="0.25">
      <c r="A523" s="1" t="s">
        <v>825</v>
      </c>
      <c r="B523" s="1" t="s">
        <v>484</v>
      </c>
      <c r="C523" s="5">
        <v>44252</v>
      </c>
      <c r="D523" s="6">
        <f t="shared" si="24"/>
        <v>44252</v>
      </c>
      <c r="E523" s="1" t="s">
        <v>20</v>
      </c>
      <c r="F523" s="1" t="s">
        <v>44</v>
      </c>
      <c r="G523" s="1">
        <v>18231</v>
      </c>
      <c r="H523" s="1" cm="1">
        <f t="array" ref="H523">IF(TRIM(G523)="",
   MEDIAN(IFERROR(--SUBSTITUTE(SUBSTITUTE(SUBSTITUTE(SUBSTITUTE(SUBSTITUTE(SUBSTITUTE(G$2:G$747,"Rs.",""),"INR",""),"₹",""),"â‚¹",""),"$","")," ",""),"")),
   IFERROR(--SUBSTITUTE(SUBSTITUTE(SUBSTITUTE(SUBSTITUTE(SUBSTITUTE(SUBSTITUTE(TRIM(G523),"Rs.",""),"INR",""),"₹",""),"â‚¹",""),"$","")," ",""),"")
)</f>
        <v>18231</v>
      </c>
      <c r="I523" s="1" t="str">
        <f t="shared" si="25"/>
        <v>Nill</v>
      </c>
      <c r="J523" s="1">
        <f t="shared" si="26"/>
        <v>18231</v>
      </c>
      <c r="K523" s="1" t="s">
        <v>48</v>
      </c>
      <c r="L523" s="1" t="s">
        <v>127</v>
      </c>
      <c r="M523" s="1" t="s">
        <v>133</v>
      </c>
      <c r="N523"/>
    </row>
    <row r="524" spans="1:14" x14ac:dyDescent="0.25">
      <c r="A524" s="1" t="s">
        <v>209</v>
      </c>
      <c r="B524" s="1" t="s">
        <v>43</v>
      </c>
      <c r="C524" s="5">
        <v>45221</v>
      </c>
      <c r="D524" s="6">
        <f t="shared" si="24"/>
        <v>45221</v>
      </c>
      <c r="E524" s="1" t="s">
        <v>11</v>
      </c>
      <c r="F524" s="1" t="s">
        <v>85</v>
      </c>
      <c r="G524" s="1">
        <v>1643</v>
      </c>
      <c r="H524" s="1" cm="1">
        <f t="array" ref="H524">IF(TRIM(G524)="",
   MEDIAN(IFERROR(--SUBSTITUTE(SUBSTITUTE(SUBSTITUTE(SUBSTITUTE(SUBSTITUTE(SUBSTITUTE(G$2:G$747,"Rs.",""),"INR",""),"₹",""),"â‚¹",""),"$","")," ",""),"")),
   IFERROR(--SUBSTITUTE(SUBSTITUTE(SUBSTITUTE(SUBSTITUTE(SUBSTITUTE(SUBSTITUTE(TRIM(G524),"Rs.",""),"INR",""),"₹",""),"â‚¹",""),"$","")," ",""),"")
)</f>
        <v>1643</v>
      </c>
      <c r="I524" s="1">
        <f t="shared" si="25"/>
        <v>1643</v>
      </c>
      <c r="J524" s="1" t="str">
        <f t="shared" si="26"/>
        <v>Nill</v>
      </c>
      <c r="K524" s="1" t="s">
        <v>31</v>
      </c>
      <c r="L524" s="1" t="s">
        <v>198</v>
      </c>
      <c r="M524" s="1" t="s">
        <v>210</v>
      </c>
      <c r="N524"/>
    </row>
    <row r="525" spans="1:14" x14ac:dyDescent="0.25">
      <c r="A525" s="1" t="s">
        <v>100</v>
      </c>
      <c r="B525" s="1" t="s">
        <v>101</v>
      </c>
      <c r="C525" s="5">
        <v>44961</v>
      </c>
      <c r="D525" s="6">
        <f t="shared" si="24"/>
        <v>44961</v>
      </c>
      <c r="E525" s="1" t="s">
        <v>11</v>
      </c>
      <c r="F525" s="1" t="s">
        <v>69</v>
      </c>
      <c r="G525" s="1">
        <v>2206</v>
      </c>
      <c r="H525" s="1" cm="1">
        <f t="array" ref="H525">IF(TRIM(G525)="",
   MEDIAN(IFERROR(--SUBSTITUTE(SUBSTITUTE(SUBSTITUTE(SUBSTITUTE(SUBSTITUTE(SUBSTITUTE(G$2:G$747,"Rs.",""),"INR",""),"₹",""),"â‚¹",""),"$","")," ",""),"")),
   IFERROR(--SUBSTITUTE(SUBSTITUTE(SUBSTITUTE(SUBSTITUTE(SUBSTITUTE(SUBSTITUTE(TRIM(G525),"Rs.",""),"INR",""),"₹",""),"â‚¹",""),"$","")," ",""),"")
)</f>
        <v>2206</v>
      </c>
      <c r="I525" s="1">
        <f t="shared" si="25"/>
        <v>2206</v>
      </c>
      <c r="J525" s="1" t="str">
        <f t="shared" si="26"/>
        <v>Nill</v>
      </c>
      <c r="K525" s="1" t="s">
        <v>25</v>
      </c>
      <c r="L525" s="1" t="s">
        <v>1252</v>
      </c>
      <c r="M525" s="1" t="s">
        <v>1253</v>
      </c>
      <c r="N525"/>
    </row>
    <row r="526" spans="1:14" x14ac:dyDescent="0.25">
      <c r="A526" s="1" t="s">
        <v>963</v>
      </c>
      <c r="B526" s="1" t="s">
        <v>96</v>
      </c>
      <c r="C526" s="1" t="s">
        <v>964</v>
      </c>
      <c r="D526" s="6">
        <f t="shared" si="24"/>
        <v>44424</v>
      </c>
      <c r="E526" s="1" t="s">
        <v>11</v>
      </c>
      <c r="F526" s="1" t="s">
        <v>69</v>
      </c>
      <c r="G526" s="1">
        <v>1702</v>
      </c>
      <c r="H526" s="1" cm="1">
        <f t="array" ref="H526">IF(TRIM(G526)="",
   MEDIAN(IFERROR(--SUBSTITUTE(SUBSTITUTE(SUBSTITUTE(SUBSTITUTE(SUBSTITUTE(SUBSTITUTE(G$2:G$747,"Rs.",""),"INR",""),"₹",""),"â‚¹",""),"$","")," ",""),"")),
   IFERROR(--SUBSTITUTE(SUBSTITUTE(SUBSTITUTE(SUBSTITUTE(SUBSTITUTE(SUBSTITUTE(TRIM(G526),"Rs.",""),"INR",""),"₹",""),"â‚¹",""),"$","")," ",""),"")
)</f>
        <v>1702</v>
      </c>
      <c r="I526" s="1">
        <f t="shared" si="25"/>
        <v>1702</v>
      </c>
      <c r="J526" s="1" t="str">
        <f t="shared" si="26"/>
        <v>Nill</v>
      </c>
      <c r="K526" s="1" t="s">
        <v>53</v>
      </c>
      <c r="L526" s="1" t="s">
        <v>167</v>
      </c>
      <c r="M526" s="1" t="s">
        <v>179</v>
      </c>
      <c r="N526"/>
    </row>
    <row r="527" spans="1:14" x14ac:dyDescent="0.25">
      <c r="A527" s="1" t="s">
        <v>519</v>
      </c>
      <c r="B527" s="1" t="s">
        <v>58</v>
      </c>
      <c r="C527" s="5">
        <v>44693</v>
      </c>
      <c r="D527" s="6">
        <f t="shared" si="24"/>
        <v>44693</v>
      </c>
      <c r="E527" s="1" t="s">
        <v>11</v>
      </c>
      <c r="F527" s="1" t="s">
        <v>171</v>
      </c>
      <c r="G527" s="1">
        <v>27792</v>
      </c>
      <c r="H527" s="1" cm="1">
        <f t="array" ref="H527">IF(TRIM(G527)="",
   MEDIAN(IFERROR(--SUBSTITUTE(SUBSTITUTE(SUBSTITUTE(SUBSTITUTE(SUBSTITUTE(SUBSTITUTE(G$2:G$747,"Rs.",""),"INR",""),"₹",""),"â‚¹",""),"$","")," ",""),"")),
   IFERROR(--SUBSTITUTE(SUBSTITUTE(SUBSTITUTE(SUBSTITUTE(SUBSTITUTE(SUBSTITUTE(TRIM(G527),"Rs.",""),"INR",""),"₹",""),"â‚¹",""),"$","")," ",""),"")
)</f>
        <v>27792</v>
      </c>
      <c r="I527" s="1">
        <f t="shared" si="25"/>
        <v>27792</v>
      </c>
      <c r="J527" s="1" t="str">
        <f t="shared" si="26"/>
        <v>Nill</v>
      </c>
      <c r="K527" s="1" t="s">
        <v>75</v>
      </c>
      <c r="L527" s="1" t="s">
        <v>167</v>
      </c>
      <c r="M527" s="1" t="s">
        <v>88</v>
      </c>
      <c r="N527"/>
    </row>
    <row r="528" spans="1:14" x14ac:dyDescent="0.25">
      <c r="A528" s="1" t="s">
        <v>349</v>
      </c>
      <c r="B528" s="1" t="s">
        <v>274</v>
      </c>
      <c r="C528" s="5">
        <v>45024</v>
      </c>
      <c r="D528" s="6">
        <f t="shared" si="24"/>
        <v>45024</v>
      </c>
      <c r="E528" s="1" t="s">
        <v>11</v>
      </c>
      <c r="F528" s="1" t="s">
        <v>171</v>
      </c>
      <c r="G528" s="1" t="s">
        <v>350</v>
      </c>
      <c r="H528" s="1" cm="1">
        <f t="array" ref="H528">IF(TRIM(G528)="",
   MEDIAN(IFERROR(--SUBSTITUTE(SUBSTITUTE(SUBSTITUTE(SUBSTITUTE(SUBSTITUTE(SUBSTITUTE(G$2:G$747,"Rs.",""),"INR",""),"₹",""),"â‚¹",""),"$","")," ",""),"")),
   IFERROR(--SUBSTITUTE(SUBSTITUTE(SUBSTITUTE(SUBSTITUTE(SUBSTITUTE(SUBSTITUTE(TRIM(G528),"Rs.",""),"INR",""),"₹",""),"â‚¹",""),"$","")," ",""),"")
)</f>
        <v>21771</v>
      </c>
      <c r="I528" s="1">
        <f t="shared" si="25"/>
        <v>21771</v>
      </c>
      <c r="J528" s="1" t="str">
        <f t="shared" si="26"/>
        <v>Nill</v>
      </c>
      <c r="K528" s="1" t="s">
        <v>48</v>
      </c>
      <c r="L528" s="1" t="s">
        <v>299</v>
      </c>
      <c r="M528" s="1" t="s">
        <v>1253</v>
      </c>
      <c r="N528"/>
    </row>
    <row r="529" spans="1:14" x14ac:dyDescent="0.25">
      <c r="A529" s="1" t="s">
        <v>93</v>
      </c>
      <c r="B529" s="1" t="s">
        <v>94</v>
      </c>
      <c r="D529" s="6" t="str">
        <f t="shared" si="24"/>
        <v>unknown</v>
      </c>
      <c r="E529" s="1" t="s">
        <v>11</v>
      </c>
      <c r="F529" s="1" t="s">
        <v>465</v>
      </c>
      <c r="G529" s="1">
        <v>4846</v>
      </c>
      <c r="H529" s="1" cm="1">
        <f t="array" ref="H529">IF(TRIM(G529)="",
   MEDIAN(IFERROR(--SUBSTITUTE(SUBSTITUTE(SUBSTITUTE(SUBSTITUTE(SUBSTITUTE(SUBSTITUTE(G$2:G$747,"Rs.",""),"INR",""),"₹",""),"â‚¹",""),"$","")," ",""),"")),
   IFERROR(--SUBSTITUTE(SUBSTITUTE(SUBSTITUTE(SUBSTITUTE(SUBSTITUTE(SUBSTITUTE(TRIM(G529),"Rs.",""),"INR",""),"₹",""),"â‚¹",""),"$","")," ",""),"")
)</f>
        <v>4846</v>
      </c>
      <c r="I529" s="1">
        <f t="shared" si="25"/>
        <v>4846</v>
      </c>
      <c r="J529" s="1" t="str">
        <f t="shared" si="26"/>
        <v>Nill</v>
      </c>
      <c r="K529" s="1" t="s">
        <v>138</v>
      </c>
      <c r="L529" s="1" t="s">
        <v>299</v>
      </c>
      <c r="M529" s="1" t="s">
        <v>22</v>
      </c>
      <c r="N529"/>
    </row>
    <row r="530" spans="1:14" x14ac:dyDescent="0.25">
      <c r="A530" s="1" t="s">
        <v>89</v>
      </c>
      <c r="B530" s="1" t="s">
        <v>90</v>
      </c>
      <c r="C530" s="5">
        <v>44241</v>
      </c>
      <c r="D530" s="6">
        <f t="shared" si="24"/>
        <v>44241</v>
      </c>
      <c r="E530" s="1" t="s">
        <v>11</v>
      </c>
      <c r="F530" s="1" t="s">
        <v>69</v>
      </c>
      <c r="G530" s="1">
        <v>7406</v>
      </c>
      <c r="H530" s="1" cm="1">
        <f t="array" ref="H530">IF(TRIM(G530)="",
   MEDIAN(IFERROR(--SUBSTITUTE(SUBSTITUTE(SUBSTITUTE(SUBSTITUTE(SUBSTITUTE(SUBSTITUTE(G$2:G$747,"Rs.",""),"INR",""),"₹",""),"â‚¹",""),"$","")," ",""),"")),
   IFERROR(--SUBSTITUTE(SUBSTITUTE(SUBSTITUTE(SUBSTITUTE(SUBSTITUTE(SUBSTITUTE(TRIM(G530),"Rs.",""),"INR",""),"₹",""),"â‚¹",""),"$","")," ",""),"")
)</f>
        <v>7406</v>
      </c>
      <c r="I530" s="1">
        <f t="shared" si="25"/>
        <v>7406</v>
      </c>
      <c r="J530" s="1" t="str">
        <f t="shared" si="26"/>
        <v>Nill</v>
      </c>
      <c r="K530" s="1" t="s">
        <v>12</v>
      </c>
      <c r="L530" s="1" t="s">
        <v>81</v>
      </c>
      <c r="M530" s="1" t="s">
        <v>1253</v>
      </c>
      <c r="N530"/>
    </row>
    <row r="531" spans="1:14" x14ac:dyDescent="0.25">
      <c r="A531" s="1" t="s">
        <v>866</v>
      </c>
      <c r="B531" s="1" t="s">
        <v>145</v>
      </c>
      <c r="C531" s="5">
        <v>45117</v>
      </c>
      <c r="D531" s="6">
        <f t="shared" si="24"/>
        <v>45117</v>
      </c>
      <c r="E531" s="1" t="s">
        <v>20</v>
      </c>
      <c r="F531" s="1" t="s">
        <v>44</v>
      </c>
      <c r="G531" s="1" t="s">
        <v>867</v>
      </c>
      <c r="H531" s="1" cm="1">
        <f t="array" ref="H531">IF(TRIM(G531)="",
   MEDIAN(IFERROR(--SUBSTITUTE(SUBSTITUTE(SUBSTITUTE(SUBSTITUTE(SUBSTITUTE(SUBSTITUTE(G$2:G$747,"Rs.",""),"INR",""),"₹",""),"â‚¹",""),"$","")," ",""),"")),
   IFERROR(--SUBSTITUTE(SUBSTITUTE(SUBSTITUTE(SUBSTITUTE(SUBSTITUTE(SUBSTITUTE(TRIM(G531),"Rs.",""),"INR",""),"₹",""),"â‚¹",""),"$","")," ",""),"")
)</f>
        <v>43818</v>
      </c>
      <c r="I531" s="1" t="str">
        <f t="shared" si="25"/>
        <v>Nill</v>
      </c>
      <c r="J531" s="1">
        <f t="shared" si="26"/>
        <v>43818</v>
      </c>
      <c r="K531" s="1" t="s">
        <v>25</v>
      </c>
      <c r="L531" s="1" t="s">
        <v>127</v>
      </c>
      <c r="M531" s="1" t="s">
        <v>1253</v>
      </c>
      <c r="N531"/>
    </row>
    <row r="532" spans="1:14" x14ac:dyDescent="0.25">
      <c r="A532" s="1" t="s">
        <v>928</v>
      </c>
      <c r="B532" s="1" t="s">
        <v>419</v>
      </c>
      <c r="C532" s="5">
        <v>44342</v>
      </c>
      <c r="D532" s="6">
        <f t="shared" si="24"/>
        <v>44342</v>
      </c>
      <c r="E532" s="1" t="s">
        <v>11</v>
      </c>
      <c r="F532" s="1" t="s">
        <v>104</v>
      </c>
      <c r="G532" s="1" t="s">
        <v>929</v>
      </c>
      <c r="H532" s="1" cm="1">
        <f t="array" ref="H532">IF(TRIM(G532)="",
   MEDIAN(IFERROR(--SUBSTITUTE(SUBSTITUTE(SUBSTITUTE(SUBSTITUTE(SUBSTITUTE(SUBSTITUTE(G$2:G$747,"Rs.",""),"INR",""),"₹",""),"â‚¹",""),"$","")," ",""),"")),
   IFERROR(--SUBSTITUTE(SUBSTITUTE(SUBSTITUTE(SUBSTITUTE(SUBSTITUTE(SUBSTITUTE(TRIM(G532),"Rs.",""),"INR",""),"₹",""),"â‚¹",""),"$","")," ",""),"")
)</f>
        <v>4241</v>
      </c>
      <c r="I532" s="1">
        <f t="shared" si="25"/>
        <v>4241</v>
      </c>
      <c r="J532" s="1" t="str">
        <f t="shared" si="26"/>
        <v>Nill</v>
      </c>
      <c r="K532" s="1" t="s">
        <v>204</v>
      </c>
      <c r="L532" s="1" t="s">
        <v>17</v>
      </c>
      <c r="M532" s="1" t="s">
        <v>49</v>
      </c>
      <c r="N532"/>
    </row>
    <row r="533" spans="1:14" x14ac:dyDescent="0.25">
      <c r="A533" s="1" t="s">
        <v>367</v>
      </c>
      <c r="B533" s="1" t="s">
        <v>208</v>
      </c>
      <c r="C533" s="5">
        <v>44310</v>
      </c>
      <c r="D533" s="6">
        <f t="shared" si="24"/>
        <v>44310</v>
      </c>
      <c r="E533" s="1" t="s">
        <v>11</v>
      </c>
      <c r="F533" s="1" t="s">
        <v>69</v>
      </c>
      <c r="G533" s="1" t="s">
        <v>368</v>
      </c>
      <c r="H533" s="1" cm="1">
        <f t="array" ref="H533">IF(TRIM(G533)="",
   MEDIAN(IFERROR(--SUBSTITUTE(SUBSTITUTE(SUBSTITUTE(SUBSTITUTE(SUBSTITUTE(SUBSTITUTE(G$2:G$747,"Rs.",""),"INR",""),"₹",""),"â‚¹",""),"$","")," ",""),"")),
   IFERROR(--SUBSTITUTE(SUBSTITUTE(SUBSTITUTE(SUBSTITUTE(SUBSTITUTE(SUBSTITUTE(TRIM(G533),"Rs.",""),"INR",""),"₹",""),"â‚¹",""),"$","")," ",""),"")
)</f>
        <v>2615</v>
      </c>
      <c r="I533" s="1">
        <f t="shared" si="25"/>
        <v>2615</v>
      </c>
      <c r="J533" s="1" t="str">
        <f t="shared" si="26"/>
        <v>Nill</v>
      </c>
      <c r="K533" s="1" t="s">
        <v>12</v>
      </c>
      <c r="L533" s="1" t="s">
        <v>40</v>
      </c>
      <c r="M533" s="1" t="s">
        <v>76</v>
      </c>
      <c r="N533"/>
    </row>
    <row r="534" spans="1:14" x14ac:dyDescent="0.25">
      <c r="A534" s="1" t="s">
        <v>218</v>
      </c>
      <c r="B534" s="1" t="s">
        <v>219</v>
      </c>
      <c r="C534" s="5">
        <v>44500</v>
      </c>
      <c r="D534" s="6">
        <f t="shared" si="24"/>
        <v>44500</v>
      </c>
      <c r="E534" s="1" t="s">
        <v>11</v>
      </c>
      <c r="F534" s="1" t="s">
        <v>69</v>
      </c>
      <c r="G534" s="1" t="s">
        <v>220</v>
      </c>
      <c r="H534" s="1" cm="1">
        <f t="array" ref="H534">IF(TRIM(G534)="",
   MEDIAN(IFERROR(--SUBSTITUTE(SUBSTITUTE(SUBSTITUTE(SUBSTITUTE(SUBSTITUTE(SUBSTITUTE(G$2:G$747,"Rs.",""),"INR",""),"₹",""),"â‚¹",""),"$","")," ",""),"")),
   IFERROR(--SUBSTITUTE(SUBSTITUTE(SUBSTITUTE(SUBSTITUTE(SUBSTITUTE(SUBSTITUTE(TRIM(G534),"Rs.",""),"INR",""),"₹",""),"â‚¹",""),"$","")," ",""),"")
)</f>
        <v>864</v>
      </c>
      <c r="I534" s="1">
        <f t="shared" si="25"/>
        <v>864</v>
      </c>
      <c r="J534" s="1" t="str">
        <f t="shared" si="26"/>
        <v>Nill</v>
      </c>
      <c r="K534" s="1" t="s">
        <v>25</v>
      </c>
      <c r="L534" s="1" t="s">
        <v>198</v>
      </c>
      <c r="M534" s="1" t="s">
        <v>117</v>
      </c>
      <c r="N534"/>
    </row>
    <row r="535" spans="1:14" x14ac:dyDescent="0.25">
      <c r="A535" s="1" t="s">
        <v>955</v>
      </c>
      <c r="B535" s="1" t="s">
        <v>410</v>
      </c>
      <c r="C535" s="1" t="s">
        <v>956</v>
      </c>
      <c r="D535" s="6">
        <f t="shared" si="24"/>
        <v>44431</v>
      </c>
      <c r="E535" s="1" t="s">
        <v>11</v>
      </c>
      <c r="F535" s="1" t="s">
        <v>85</v>
      </c>
      <c r="G535" s="1">
        <v>8859</v>
      </c>
      <c r="H535" s="1" cm="1">
        <f t="array" ref="H535">IF(TRIM(G535)="",
   MEDIAN(IFERROR(--SUBSTITUTE(SUBSTITUTE(SUBSTITUTE(SUBSTITUTE(SUBSTITUTE(SUBSTITUTE(G$2:G$747,"Rs.",""),"INR",""),"₹",""),"â‚¹",""),"$","")," ",""),"")),
   IFERROR(--SUBSTITUTE(SUBSTITUTE(SUBSTITUTE(SUBSTITUTE(SUBSTITUTE(SUBSTITUTE(TRIM(G535),"Rs.",""),"INR",""),"₹",""),"â‚¹",""),"$","")," ",""),"")
)</f>
        <v>8859</v>
      </c>
      <c r="I535" s="1">
        <f t="shared" si="25"/>
        <v>8859</v>
      </c>
      <c r="J535" s="1" t="str">
        <f t="shared" si="26"/>
        <v>Nill</v>
      </c>
      <c r="K535" s="1" t="s">
        <v>138</v>
      </c>
      <c r="L535" s="1" t="s">
        <v>217</v>
      </c>
      <c r="M535" s="1" t="s">
        <v>122</v>
      </c>
      <c r="N535"/>
    </row>
    <row r="536" spans="1:14" x14ac:dyDescent="0.25">
      <c r="A536" s="1" t="s">
        <v>895</v>
      </c>
      <c r="B536" s="1" t="s">
        <v>43</v>
      </c>
      <c r="C536" s="1" t="s">
        <v>896</v>
      </c>
      <c r="D536" s="6">
        <f t="shared" si="24"/>
        <v>45523</v>
      </c>
      <c r="E536" s="1" t="s">
        <v>20</v>
      </c>
      <c r="F536" s="1" t="s">
        <v>239</v>
      </c>
      <c r="G536" s="1">
        <v>36129</v>
      </c>
      <c r="H536" s="1" cm="1">
        <f t="array" ref="H536">IF(TRIM(G536)="",
   MEDIAN(IFERROR(--SUBSTITUTE(SUBSTITUTE(SUBSTITUTE(SUBSTITUTE(SUBSTITUTE(SUBSTITUTE(G$2:G$747,"Rs.",""),"INR",""),"₹",""),"â‚¹",""),"$","")," ",""),"")),
   IFERROR(--SUBSTITUTE(SUBSTITUTE(SUBSTITUTE(SUBSTITUTE(SUBSTITUTE(SUBSTITUTE(TRIM(G536),"Rs.",""),"INR",""),"₹",""),"â‚¹",""),"$","")," ",""),"")
)</f>
        <v>36129</v>
      </c>
      <c r="I536" s="1" t="str">
        <f t="shared" si="25"/>
        <v>Nill</v>
      </c>
      <c r="J536" s="1">
        <f t="shared" si="26"/>
        <v>36129</v>
      </c>
      <c r="K536" s="1" t="s">
        <v>172</v>
      </c>
      <c r="L536" s="1" t="s">
        <v>217</v>
      </c>
      <c r="M536" s="1" t="s">
        <v>22</v>
      </c>
      <c r="N536"/>
    </row>
    <row r="537" spans="1:14" x14ac:dyDescent="0.25">
      <c r="A537" s="1" t="s">
        <v>374</v>
      </c>
      <c r="B537" s="1" t="s">
        <v>56</v>
      </c>
      <c r="C537" s="5">
        <v>45486</v>
      </c>
      <c r="D537" s="6">
        <f t="shared" si="24"/>
        <v>45486</v>
      </c>
      <c r="E537" s="1" t="s">
        <v>11</v>
      </c>
      <c r="F537" s="1" t="s">
        <v>171</v>
      </c>
      <c r="G537" s="1">
        <v>4583</v>
      </c>
      <c r="H537" s="1" cm="1">
        <f t="array" ref="H537">IF(TRIM(G537)="",
   MEDIAN(IFERROR(--SUBSTITUTE(SUBSTITUTE(SUBSTITUTE(SUBSTITUTE(SUBSTITUTE(SUBSTITUTE(G$2:G$747,"Rs.",""),"INR",""),"₹",""),"â‚¹",""),"$","")," ",""),"")),
   IFERROR(--SUBSTITUTE(SUBSTITUTE(SUBSTITUTE(SUBSTITUTE(SUBSTITUTE(SUBSTITUTE(TRIM(G537),"Rs.",""),"INR",""),"₹",""),"â‚¹",""),"$","")," ",""),"")
)</f>
        <v>4583</v>
      </c>
      <c r="I537" s="1">
        <f t="shared" si="25"/>
        <v>4583</v>
      </c>
      <c r="J537" s="1" t="str">
        <f t="shared" si="26"/>
        <v>Nill</v>
      </c>
      <c r="K537" s="1" t="s">
        <v>25</v>
      </c>
      <c r="L537" s="1" t="s">
        <v>1252</v>
      </c>
      <c r="M537" s="1" t="s">
        <v>255</v>
      </c>
      <c r="N537"/>
    </row>
    <row r="538" spans="1:14" x14ac:dyDescent="0.25">
      <c r="A538" s="1" t="s">
        <v>183</v>
      </c>
      <c r="B538" s="1" t="s">
        <v>184</v>
      </c>
      <c r="C538" s="1" t="s">
        <v>185</v>
      </c>
      <c r="D538" s="6">
        <f t="shared" si="24"/>
        <v>45403</v>
      </c>
      <c r="E538" s="1" t="s">
        <v>11</v>
      </c>
      <c r="F538" s="1" t="s">
        <v>186</v>
      </c>
      <c r="G538" s="1">
        <v>8111</v>
      </c>
      <c r="H538" s="1" cm="1">
        <f t="array" ref="H538">IF(TRIM(G538)="",
   MEDIAN(IFERROR(--SUBSTITUTE(SUBSTITUTE(SUBSTITUTE(SUBSTITUTE(SUBSTITUTE(SUBSTITUTE(G$2:G$747,"Rs.",""),"INR",""),"₹",""),"â‚¹",""),"$","")," ",""),"")),
   IFERROR(--SUBSTITUTE(SUBSTITUTE(SUBSTITUTE(SUBSTITUTE(SUBSTITUTE(SUBSTITUTE(TRIM(G538),"Rs.",""),"INR",""),"₹",""),"â‚¹",""),"$","")," ",""),"")
)</f>
        <v>8111</v>
      </c>
      <c r="I538" s="1">
        <f t="shared" si="25"/>
        <v>8111</v>
      </c>
      <c r="J538" s="1" t="str">
        <f t="shared" si="26"/>
        <v>Nill</v>
      </c>
      <c r="K538" s="1" t="s">
        <v>1253</v>
      </c>
      <c r="L538" s="1" t="s">
        <v>127</v>
      </c>
      <c r="M538" s="1" t="s">
        <v>49</v>
      </c>
      <c r="N538"/>
    </row>
    <row r="539" spans="1:14" x14ac:dyDescent="0.25">
      <c r="A539" s="1" t="s">
        <v>297</v>
      </c>
      <c r="B539" s="1" t="s">
        <v>155</v>
      </c>
      <c r="C539" s="5">
        <v>44360</v>
      </c>
      <c r="D539" s="6">
        <f t="shared" si="24"/>
        <v>44360</v>
      </c>
      <c r="E539" s="1" t="s">
        <v>11</v>
      </c>
      <c r="F539" s="1" t="s">
        <v>1253</v>
      </c>
      <c r="G539" s="1" t="s">
        <v>298</v>
      </c>
      <c r="H539" s="1" cm="1">
        <f t="array" ref="H539">IF(TRIM(G539)="",
   MEDIAN(IFERROR(--SUBSTITUTE(SUBSTITUTE(SUBSTITUTE(SUBSTITUTE(SUBSTITUTE(SUBSTITUTE(G$2:G$747,"Rs.",""),"INR",""),"₹",""),"â‚¹",""),"$","")," ",""),"")),
   IFERROR(--SUBSTITUTE(SUBSTITUTE(SUBSTITUTE(SUBSTITUTE(SUBSTITUTE(SUBSTITUTE(TRIM(G539),"Rs.",""),"INR",""),"₹",""),"â‚¹",""),"$","")," ",""),"")
)</f>
        <v>6856</v>
      </c>
      <c r="I539" s="1">
        <f t="shared" si="25"/>
        <v>6856</v>
      </c>
      <c r="J539" s="1" t="str">
        <f t="shared" si="26"/>
        <v>Nill</v>
      </c>
      <c r="K539" s="1" t="s">
        <v>1253</v>
      </c>
      <c r="L539" s="1" t="s">
        <v>299</v>
      </c>
      <c r="M539" s="1" t="s">
        <v>117</v>
      </c>
      <c r="N539"/>
    </row>
    <row r="540" spans="1:14" x14ac:dyDescent="0.25">
      <c r="A540" s="1" t="s">
        <v>835</v>
      </c>
      <c r="B540" s="1" t="s">
        <v>80</v>
      </c>
      <c r="C540" s="5">
        <v>44605</v>
      </c>
      <c r="D540" s="6">
        <f t="shared" si="24"/>
        <v>44605</v>
      </c>
      <c r="E540" s="1" t="s">
        <v>11</v>
      </c>
      <c r="F540" s="1" t="s">
        <v>171</v>
      </c>
      <c r="G540" s="1">
        <v>19467</v>
      </c>
      <c r="H540" s="1" cm="1">
        <f t="array" ref="H540">IF(TRIM(G540)="",
   MEDIAN(IFERROR(--SUBSTITUTE(SUBSTITUTE(SUBSTITUTE(SUBSTITUTE(SUBSTITUTE(SUBSTITUTE(G$2:G$747,"Rs.",""),"INR",""),"₹",""),"â‚¹",""),"$","")," ",""),"")),
   IFERROR(--SUBSTITUTE(SUBSTITUTE(SUBSTITUTE(SUBSTITUTE(SUBSTITUTE(SUBSTITUTE(TRIM(G540),"Rs.",""),"INR",""),"₹",""),"â‚¹",""),"$","")," ",""),"")
)</f>
        <v>19467</v>
      </c>
      <c r="I540" s="1">
        <f t="shared" si="25"/>
        <v>19467</v>
      </c>
      <c r="J540" s="1" t="str">
        <f t="shared" si="26"/>
        <v>Nill</v>
      </c>
      <c r="K540" s="1" t="s">
        <v>25</v>
      </c>
      <c r="L540" s="1" t="s">
        <v>81</v>
      </c>
      <c r="M540" s="1" t="s">
        <v>54</v>
      </c>
      <c r="N540"/>
    </row>
    <row r="541" spans="1:14" x14ac:dyDescent="0.25">
      <c r="A541" s="1" t="s">
        <v>1190</v>
      </c>
      <c r="B541" s="1" t="s">
        <v>176</v>
      </c>
      <c r="C541" s="5">
        <v>44581</v>
      </c>
      <c r="D541" s="6">
        <f t="shared" si="24"/>
        <v>44581</v>
      </c>
      <c r="E541" s="1" t="s">
        <v>11</v>
      </c>
      <c r="F541" s="1" t="s">
        <v>171</v>
      </c>
      <c r="G541" s="1">
        <v>-500</v>
      </c>
      <c r="H541" s="1" cm="1">
        <f t="array" ref="H541">IF(TRIM(G541)="",
   MEDIAN(IFERROR(--SUBSTITUTE(SUBSTITUTE(SUBSTITUTE(SUBSTITUTE(SUBSTITUTE(SUBSTITUTE(G$2:G$747,"Rs.",""),"INR",""),"₹",""),"â‚¹",""),"$","")," ",""),"")),
   IFERROR(--SUBSTITUTE(SUBSTITUTE(SUBSTITUTE(SUBSTITUTE(SUBSTITUTE(SUBSTITUTE(TRIM(G541),"Rs.",""),"INR",""),"₹",""),"â‚¹",""),"$","")," ",""),"")
)</f>
        <v>-500</v>
      </c>
      <c r="I541" s="1">
        <f t="shared" si="25"/>
        <v>-500</v>
      </c>
      <c r="J541" s="1" t="str">
        <f t="shared" si="26"/>
        <v>Nill</v>
      </c>
      <c r="K541" s="1" t="s">
        <v>204</v>
      </c>
      <c r="L541" s="1" t="s">
        <v>299</v>
      </c>
      <c r="M541" s="1" t="s">
        <v>54</v>
      </c>
      <c r="N541"/>
    </row>
    <row r="542" spans="1:14" x14ac:dyDescent="0.25">
      <c r="A542" s="1" t="s">
        <v>1053</v>
      </c>
      <c r="B542" s="1" t="s">
        <v>219</v>
      </c>
      <c r="C542" s="1" t="s">
        <v>1054</v>
      </c>
      <c r="D542" s="6">
        <f t="shared" si="24"/>
        <v>44641</v>
      </c>
      <c r="E542" s="1" t="s">
        <v>11</v>
      </c>
      <c r="F542" s="1" t="s">
        <v>249</v>
      </c>
      <c r="G542" s="1">
        <v>5066</v>
      </c>
      <c r="H542" s="1" cm="1">
        <f t="array" ref="H542">IF(TRIM(G542)="",
   MEDIAN(IFERROR(--SUBSTITUTE(SUBSTITUTE(SUBSTITUTE(SUBSTITUTE(SUBSTITUTE(SUBSTITUTE(G$2:G$747,"Rs.",""),"INR",""),"₹",""),"â‚¹",""),"$","")," ",""),"")),
   IFERROR(--SUBSTITUTE(SUBSTITUTE(SUBSTITUTE(SUBSTITUTE(SUBSTITUTE(SUBSTITUTE(TRIM(G542),"Rs.",""),"INR",""),"₹",""),"â‚¹",""),"$","")," ",""),"")
)</f>
        <v>5066</v>
      </c>
      <c r="I542" s="1">
        <f t="shared" si="25"/>
        <v>5066</v>
      </c>
      <c r="J542" s="1" t="str">
        <f t="shared" si="26"/>
        <v>Nill</v>
      </c>
      <c r="K542" s="1" t="s">
        <v>25</v>
      </c>
      <c r="L542" s="1" t="s">
        <v>40</v>
      </c>
      <c r="M542" s="1" t="s">
        <v>1253</v>
      </c>
      <c r="N542"/>
    </row>
    <row r="543" spans="1:14" x14ac:dyDescent="0.25">
      <c r="A543" s="1" t="s">
        <v>1235</v>
      </c>
      <c r="B543" s="1" t="s">
        <v>657</v>
      </c>
      <c r="C543" s="5">
        <v>44354</v>
      </c>
      <c r="D543" s="6">
        <f t="shared" si="24"/>
        <v>44354</v>
      </c>
      <c r="E543" s="1" t="s">
        <v>11</v>
      </c>
      <c r="F543" s="1" t="s">
        <v>171</v>
      </c>
      <c r="G543" s="1" t="s">
        <v>1236</v>
      </c>
      <c r="H543" s="1" cm="1">
        <f t="array" ref="H543">IF(TRIM(G543)="",
   MEDIAN(IFERROR(--SUBSTITUTE(SUBSTITUTE(SUBSTITUTE(SUBSTITUTE(SUBSTITUTE(SUBSTITUTE(G$2:G$747,"Rs.",""),"INR",""),"₹",""),"â‚¹",""),"$","")," ",""),"")),
   IFERROR(--SUBSTITUTE(SUBSTITUTE(SUBSTITUTE(SUBSTITUTE(SUBSTITUTE(SUBSTITUTE(TRIM(G543),"Rs.",""),"INR",""),"₹",""),"â‚¹",""),"$","")," ",""),"")
)</f>
        <v>41358</v>
      </c>
      <c r="I543" s="1">
        <f t="shared" si="25"/>
        <v>41358</v>
      </c>
      <c r="J543" s="1" t="str">
        <f t="shared" si="26"/>
        <v>Nill</v>
      </c>
      <c r="K543" s="1" t="s">
        <v>31</v>
      </c>
      <c r="L543" s="1" t="s">
        <v>97</v>
      </c>
      <c r="M543" s="1" t="s">
        <v>190</v>
      </c>
      <c r="N543"/>
    </row>
    <row r="544" spans="1:14" x14ac:dyDescent="0.25">
      <c r="A544" s="1" t="s">
        <v>1070</v>
      </c>
      <c r="B544" s="1" t="s">
        <v>402</v>
      </c>
      <c r="C544" s="5">
        <v>45586</v>
      </c>
      <c r="D544" s="6">
        <f t="shared" si="24"/>
        <v>45586</v>
      </c>
      <c r="E544" s="1" t="s">
        <v>11</v>
      </c>
      <c r="F544" s="1" t="s">
        <v>171</v>
      </c>
      <c r="G544" s="1">
        <v>1223</v>
      </c>
      <c r="H544" s="1" cm="1">
        <f t="array" ref="H544">IF(TRIM(G544)="",
   MEDIAN(IFERROR(--SUBSTITUTE(SUBSTITUTE(SUBSTITUTE(SUBSTITUTE(SUBSTITUTE(SUBSTITUTE(G$2:G$747,"Rs.",""),"INR",""),"₹",""),"â‚¹",""),"$","")," ",""),"")),
   IFERROR(--SUBSTITUTE(SUBSTITUTE(SUBSTITUTE(SUBSTITUTE(SUBSTITUTE(SUBSTITUTE(TRIM(G544),"Rs.",""),"INR",""),"₹",""),"â‚¹",""),"$","")," ",""),"")
)</f>
        <v>1223</v>
      </c>
      <c r="I544" s="1">
        <f t="shared" si="25"/>
        <v>1223</v>
      </c>
      <c r="J544" s="1" t="str">
        <f t="shared" si="26"/>
        <v>Nill</v>
      </c>
      <c r="K544" s="1" t="s">
        <v>12</v>
      </c>
      <c r="L544" s="1" t="s">
        <v>17</v>
      </c>
      <c r="M544" s="1" t="s">
        <v>54</v>
      </c>
      <c r="N544"/>
    </row>
    <row r="545" spans="1:14" x14ac:dyDescent="0.25">
      <c r="A545" s="1" t="s">
        <v>953</v>
      </c>
      <c r="B545" s="1" t="s">
        <v>596</v>
      </c>
      <c r="C545" s="5">
        <v>44624</v>
      </c>
      <c r="D545" s="6">
        <f t="shared" si="24"/>
        <v>44624</v>
      </c>
      <c r="E545" s="1" t="s">
        <v>11</v>
      </c>
      <c r="F545" s="1" t="s">
        <v>759</v>
      </c>
      <c r="G545" s="1">
        <v>6682</v>
      </c>
      <c r="H545" s="1" cm="1">
        <f t="array" ref="H545">IF(TRIM(G545)="",
   MEDIAN(IFERROR(--SUBSTITUTE(SUBSTITUTE(SUBSTITUTE(SUBSTITUTE(SUBSTITUTE(SUBSTITUTE(G$2:G$747,"Rs.",""),"INR",""),"₹",""),"â‚¹",""),"$","")," ",""),"")),
   IFERROR(--SUBSTITUTE(SUBSTITUTE(SUBSTITUTE(SUBSTITUTE(SUBSTITUTE(SUBSTITUTE(TRIM(G545),"Rs.",""),"INR",""),"₹",""),"â‚¹",""),"$","")," ",""),"")
)</f>
        <v>6682</v>
      </c>
      <c r="I545" s="1">
        <f t="shared" si="25"/>
        <v>6682</v>
      </c>
      <c r="J545" s="1" t="str">
        <f t="shared" si="26"/>
        <v>Nill</v>
      </c>
      <c r="K545" s="1" t="s">
        <v>261</v>
      </c>
      <c r="L545" s="1" t="s">
        <v>198</v>
      </c>
      <c r="M545" s="1" t="s">
        <v>14</v>
      </c>
      <c r="N545"/>
    </row>
    <row r="546" spans="1:14" x14ac:dyDescent="0.25">
      <c r="A546" s="1" t="s">
        <v>541</v>
      </c>
      <c r="B546" s="1" t="s">
        <v>46</v>
      </c>
      <c r="C546" s="5">
        <v>45067</v>
      </c>
      <c r="D546" s="6">
        <f t="shared" si="24"/>
        <v>45067</v>
      </c>
      <c r="E546" s="1" t="s">
        <v>11</v>
      </c>
      <c r="F546" s="1" t="s">
        <v>69</v>
      </c>
      <c r="G546" s="1">
        <v>2232</v>
      </c>
      <c r="H546" s="1" cm="1">
        <f t="array" ref="H546">IF(TRIM(G546)="",
   MEDIAN(IFERROR(--SUBSTITUTE(SUBSTITUTE(SUBSTITUTE(SUBSTITUTE(SUBSTITUTE(SUBSTITUTE(G$2:G$747,"Rs.",""),"INR",""),"₹",""),"â‚¹",""),"$","")," ",""),"")),
   IFERROR(--SUBSTITUTE(SUBSTITUTE(SUBSTITUTE(SUBSTITUTE(SUBSTITUTE(SUBSTITUTE(TRIM(G546),"Rs.",""),"INR",""),"₹",""),"â‚¹",""),"$","")," ",""),"")
)</f>
        <v>2232</v>
      </c>
      <c r="I546" s="1">
        <f t="shared" si="25"/>
        <v>2232</v>
      </c>
      <c r="J546" s="1" t="str">
        <f t="shared" si="26"/>
        <v>Nill</v>
      </c>
      <c r="K546" s="1" t="s">
        <v>1253</v>
      </c>
      <c r="L546" s="1" t="s">
        <v>167</v>
      </c>
      <c r="M546" s="1" t="s">
        <v>22</v>
      </c>
      <c r="N546"/>
    </row>
    <row r="547" spans="1:14" x14ac:dyDescent="0.25">
      <c r="A547" s="1" t="s">
        <v>741</v>
      </c>
      <c r="B547" s="1" t="s">
        <v>84</v>
      </c>
      <c r="C547" s="5">
        <v>44776</v>
      </c>
      <c r="D547" s="6">
        <f t="shared" si="24"/>
        <v>44776</v>
      </c>
      <c r="E547" s="1" t="s">
        <v>11</v>
      </c>
      <c r="F547" s="1" t="s">
        <v>69</v>
      </c>
      <c r="G547" s="1">
        <v>3280</v>
      </c>
      <c r="H547" s="1" cm="1">
        <f t="array" ref="H547">IF(TRIM(G547)="",
   MEDIAN(IFERROR(--SUBSTITUTE(SUBSTITUTE(SUBSTITUTE(SUBSTITUTE(SUBSTITUTE(SUBSTITUTE(G$2:G$747,"Rs.",""),"INR",""),"₹",""),"â‚¹",""),"$","")," ",""),"")),
   IFERROR(--SUBSTITUTE(SUBSTITUTE(SUBSTITUTE(SUBSTITUTE(SUBSTITUTE(SUBSTITUTE(TRIM(G547),"Rs.",""),"INR",""),"₹",""),"â‚¹",""),"$","")," ",""),"")
)</f>
        <v>3280</v>
      </c>
      <c r="I547" s="1">
        <f t="shared" si="25"/>
        <v>3280</v>
      </c>
      <c r="J547" s="1" t="str">
        <f t="shared" si="26"/>
        <v>Nill</v>
      </c>
      <c r="K547" s="1" t="s">
        <v>25</v>
      </c>
      <c r="L547" s="1" t="s">
        <v>97</v>
      </c>
      <c r="M547" s="1" t="s">
        <v>1253</v>
      </c>
      <c r="N547"/>
    </row>
    <row r="548" spans="1:14" x14ac:dyDescent="0.25">
      <c r="A548" s="1" t="s">
        <v>861</v>
      </c>
      <c r="B548" s="1" t="s">
        <v>509</v>
      </c>
      <c r="C548" s="5">
        <v>45137</v>
      </c>
      <c r="D548" s="6">
        <f t="shared" si="24"/>
        <v>45137</v>
      </c>
      <c r="E548" s="1" t="s">
        <v>11</v>
      </c>
      <c r="F548" s="1" t="s">
        <v>171</v>
      </c>
      <c r="H548" s="1" cm="1">
        <f t="array" ref="H548">IF(TRIM(G548)="",
   MEDIAN(IFERROR(--SUBSTITUTE(SUBSTITUTE(SUBSTITUTE(SUBSTITUTE(SUBSTITUTE(SUBSTITUTE(G$2:G$747,"Rs.",""),"INR",""),"₹",""),"â‚¹",""),"$","")," ",""),"")),
   IFERROR(--SUBSTITUTE(SUBSTITUTE(SUBSTITUTE(SUBSTITUTE(SUBSTITUTE(SUBSTITUTE(TRIM(G548),"Rs.",""),"INR",""),"₹",""),"â‚¹",""),"$","")," ",""),"")
)</f>
        <v>5935</v>
      </c>
      <c r="I548" s="1">
        <f t="shared" si="25"/>
        <v>5935</v>
      </c>
      <c r="J548" s="1" t="str">
        <f t="shared" si="26"/>
        <v>Nill</v>
      </c>
      <c r="K548" s="1" t="s">
        <v>25</v>
      </c>
      <c r="L548" s="1" t="s">
        <v>1252</v>
      </c>
      <c r="M548" s="1" t="s">
        <v>190</v>
      </c>
      <c r="N548"/>
    </row>
    <row r="549" spans="1:14" x14ac:dyDescent="0.25">
      <c r="A549" s="1" t="s">
        <v>723</v>
      </c>
      <c r="B549" s="1" t="s">
        <v>243</v>
      </c>
      <c r="C549" s="5">
        <v>45422</v>
      </c>
      <c r="D549" s="6">
        <f t="shared" si="24"/>
        <v>45422</v>
      </c>
      <c r="E549" s="1" t="s">
        <v>11</v>
      </c>
      <c r="F549" s="1" t="s">
        <v>69</v>
      </c>
      <c r="G549" s="1">
        <v>3830</v>
      </c>
      <c r="H549" s="1" cm="1">
        <f t="array" ref="H549">IF(TRIM(G549)="",
   MEDIAN(IFERROR(--SUBSTITUTE(SUBSTITUTE(SUBSTITUTE(SUBSTITUTE(SUBSTITUTE(SUBSTITUTE(G$2:G$747,"Rs.",""),"INR",""),"₹",""),"â‚¹",""),"$","")," ",""),"")),
   IFERROR(--SUBSTITUTE(SUBSTITUTE(SUBSTITUTE(SUBSTITUTE(SUBSTITUTE(SUBSTITUTE(TRIM(G549),"Rs.",""),"INR",""),"₹",""),"â‚¹",""),"$","")," ",""),"")
)</f>
        <v>3830</v>
      </c>
      <c r="I549" s="1">
        <f t="shared" si="25"/>
        <v>3830</v>
      </c>
      <c r="J549" s="1" t="str">
        <f t="shared" si="26"/>
        <v>Nill</v>
      </c>
      <c r="K549" s="1" t="s">
        <v>12</v>
      </c>
      <c r="L549" s="1" t="s">
        <v>1252</v>
      </c>
      <c r="M549" s="1" t="s">
        <v>54</v>
      </c>
      <c r="N549"/>
    </row>
    <row r="550" spans="1:14" x14ac:dyDescent="0.25">
      <c r="A550" s="1" t="s">
        <v>546</v>
      </c>
      <c r="B550" s="1" t="s">
        <v>222</v>
      </c>
      <c r="C550" s="5">
        <v>45234</v>
      </c>
      <c r="D550" s="6">
        <f t="shared" si="24"/>
        <v>45234</v>
      </c>
      <c r="E550" s="1" t="s">
        <v>11</v>
      </c>
      <c r="F550" s="1" t="s">
        <v>69</v>
      </c>
      <c r="G550" s="1" t="s">
        <v>547</v>
      </c>
      <c r="H550" s="1" cm="1">
        <f t="array" ref="H550">IF(TRIM(G550)="",
   MEDIAN(IFERROR(--SUBSTITUTE(SUBSTITUTE(SUBSTITUTE(SUBSTITUTE(SUBSTITUTE(SUBSTITUTE(G$2:G$747,"Rs.",""),"INR",""),"₹",""),"â‚¹",""),"$","")," ",""),"")),
   IFERROR(--SUBSTITUTE(SUBSTITUTE(SUBSTITUTE(SUBSTITUTE(SUBSTITUTE(SUBSTITUTE(TRIM(G550),"Rs.",""),"INR",""),"₹",""),"â‚¹",""),"$","")," ",""),"")
)</f>
        <v>1078</v>
      </c>
      <c r="I550" s="1">
        <f t="shared" si="25"/>
        <v>1078</v>
      </c>
      <c r="J550" s="1" t="str">
        <f t="shared" si="26"/>
        <v>Nill</v>
      </c>
      <c r="K550" s="1" t="s">
        <v>25</v>
      </c>
      <c r="L550" s="1" t="s">
        <v>127</v>
      </c>
      <c r="M550" s="1" t="s">
        <v>1253</v>
      </c>
      <c r="N550"/>
    </row>
    <row r="551" spans="1:14" x14ac:dyDescent="0.25">
      <c r="A551" s="1" t="s">
        <v>159</v>
      </c>
      <c r="B551" s="1" t="s">
        <v>160</v>
      </c>
      <c r="C551" s="5">
        <v>45302</v>
      </c>
      <c r="D551" s="6">
        <f t="shared" si="24"/>
        <v>45302</v>
      </c>
      <c r="E551" s="1" t="s">
        <v>11</v>
      </c>
      <c r="F551" s="1" t="s">
        <v>171</v>
      </c>
      <c r="G551" s="1" t="s">
        <v>161</v>
      </c>
      <c r="H551" s="1" cm="1">
        <f t="array" ref="H551">IF(TRIM(G551)="",
   MEDIAN(IFERROR(--SUBSTITUTE(SUBSTITUTE(SUBSTITUTE(SUBSTITUTE(SUBSTITUTE(SUBSTITUTE(G$2:G$747,"Rs.",""),"INR",""),"₹",""),"â‚¹",""),"$","")," ",""),"")),
   IFERROR(--SUBSTITUTE(SUBSTITUTE(SUBSTITUTE(SUBSTITUTE(SUBSTITUTE(SUBSTITUTE(TRIM(G551),"Rs.",""),"INR",""),"₹",""),"â‚¹",""),"$","")," ",""),"")
)</f>
        <v>4641</v>
      </c>
      <c r="I551" s="1">
        <f t="shared" si="25"/>
        <v>4641</v>
      </c>
      <c r="J551" s="1" t="str">
        <f t="shared" si="26"/>
        <v>Nill</v>
      </c>
      <c r="K551" s="1" t="s">
        <v>25</v>
      </c>
      <c r="L551" s="1" t="s">
        <v>127</v>
      </c>
      <c r="M551" s="1" t="s">
        <v>76</v>
      </c>
      <c r="N551"/>
    </row>
    <row r="552" spans="1:14" x14ac:dyDescent="0.25">
      <c r="A552" s="1" t="s">
        <v>173</v>
      </c>
      <c r="B552" s="1" t="s">
        <v>174</v>
      </c>
      <c r="C552" s="5">
        <v>45039</v>
      </c>
      <c r="D552" s="6">
        <f t="shared" si="24"/>
        <v>45039</v>
      </c>
      <c r="E552" s="1" t="s">
        <v>11</v>
      </c>
      <c r="F552" s="1" t="s">
        <v>465</v>
      </c>
      <c r="G552" s="1">
        <v>6707</v>
      </c>
      <c r="H552" s="1" cm="1">
        <f t="array" ref="H552">IF(TRIM(G552)="",
   MEDIAN(IFERROR(--SUBSTITUTE(SUBSTITUTE(SUBSTITUTE(SUBSTITUTE(SUBSTITUTE(SUBSTITUTE(G$2:G$747,"Rs.",""),"INR",""),"₹",""),"â‚¹",""),"$","")," ",""),"")),
   IFERROR(--SUBSTITUTE(SUBSTITUTE(SUBSTITUTE(SUBSTITUTE(SUBSTITUTE(SUBSTITUTE(TRIM(G552),"Rs.",""),"INR",""),"₹",""),"â‚¹",""),"$","")," ",""),"")
)</f>
        <v>6707</v>
      </c>
      <c r="I552" s="1">
        <f t="shared" si="25"/>
        <v>6707</v>
      </c>
      <c r="J552" s="1" t="str">
        <f t="shared" si="26"/>
        <v>Nill</v>
      </c>
      <c r="K552" s="1" t="s">
        <v>12</v>
      </c>
      <c r="L552" s="1" t="s">
        <v>127</v>
      </c>
      <c r="M552" s="1" t="s">
        <v>1253</v>
      </c>
      <c r="N552"/>
    </row>
    <row r="553" spans="1:14" x14ac:dyDescent="0.25">
      <c r="A553" s="1" t="s">
        <v>880</v>
      </c>
      <c r="B553" s="1" t="s">
        <v>881</v>
      </c>
      <c r="C553" s="5">
        <v>44506</v>
      </c>
      <c r="D553" s="6">
        <f t="shared" si="24"/>
        <v>44506</v>
      </c>
      <c r="E553" s="1" t="s">
        <v>20</v>
      </c>
      <c r="F553" s="1" t="s">
        <v>112</v>
      </c>
      <c r="G553" s="1" t="s">
        <v>882</v>
      </c>
      <c r="H553" s="1" cm="1">
        <f t="array" ref="H553">IF(TRIM(G553)="",
   MEDIAN(IFERROR(--SUBSTITUTE(SUBSTITUTE(SUBSTITUTE(SUBSTITUTE(SUBSTITUTE(SUBSTITUTE(G$2:G$747,"Rs.",""),"INR",""),"₹",""),"â‚¹",""),"$","")," ",""),"")),
   IFERROR(--SUBSTITUTE(SUBSTITUTE(SUBSTITUTE(SUBSTITUTE(SUBSTITUTE(SUBSTITUTE(TRIM(G553),"Rs.",""),"INR",""),"₹",""),"â‚¹",""),"$","")," ",""),"")
)</f>
        <v>27454</v>
      </c>
      <c r="I553" s="1" t="str">
        <f t="shared" si="25"/>
        <v>Nill</v>
      </c>
      <c r="J553" s="1">
        <f t="shared" si="26"/>
        <v>27454</v>
      </c>
      <c r="K553" s="1" t="s">
        <v>1253</v>
      </c>
      <c r="L553" s="1" t="s">
        <v>217</v>
      </c>
      <c r="M553" s="1" t="s">
        <v>190</v>
      </c>
      <c r="N553"/>
    </row>
    <row r="554" spans="1:14" x14ac:dyDescent="0.25">
      <c r="A554" s="1" t="s">
        <v>95</v>
      </c>
      <c r="B554" s="1" t="s">
        <v>96</v>
      </c>
      <c r="C554" s="5">
        <v>45616</v>
      </c>
      <c r="D554" s="6">
        <f t="shared" si="24"/>
        <v>45616</v>
      </c>
      <c r="E554" s="1" t="s">
        <v>20</v>
      </c>
      <c r="F554" s="1" t="s">
        <v>44</v>
      </c>
      <c r="G554" s="1">
        <v>855881</v>
      </c>
      <c r="H554" s="1" cm="1">
        <f t="array" ref="H554">IF(TRIM(G554)="",
   MEDIAN(IFERROR(--SUBSTITUTE(SUBSTITUTE(SUBSTITUTE(SUBSTITUTE(SUBSTITUTE(SUBSTITUTE(G$2:G$747,"Rs.",""),"INR",""),"₹",""),"â‚¹",""),"$","")," ",""),"")),
   IFERROR(--SUBSTITUTE(SUBSTITUTE(SUBSTITUTE(SUBSTITUTE(SUBSTITUTE(SUBSTITUTE(TRIM(G554),"Rs.",""),"INR",""),"₹",""),"â‚¹",""),"$","")," ",""),"")
)</f>
        <v>855881</v>
      </c>
      <c r="I554" s="1" t="str">
        <f t="shared" si="25"/>
        <v>Nill</v>
      </c>
      <c r="J554" s="1">
        <f t="shared" si="26"/>
        <v>855881</v>
      </c>
      <c r="K554" s="1" t="s">
        <v>25</v>
      </c>
      <c r="L554" s="1" t="s">
        <v>97</v>
      </c>
      <c r="M554" s="1" t="s">
        <v>1253</v>
      </c>
      <c r="N554"/>
    </row>
    <row r="555" spans="1:14" x14ac:dyDescent="0.25">
      <c r="A555" s="1" t="s">
        <v>445</v>
      </c>
      <c r="B555" s="1" t="s">
        <v>84</v>
      </c>
      <c r="C555" s="5">
        <v>45393</v>
      </c>
      <c r="D555" s="6">
        <f t="shared" si="24"/>
        <v>45393</v>
      </c>
      <c r="E555" s="1" t="s">
        <v>20</v>
      </c>
      <c r="F555" s="1" t="s">
        <v>44</v>
      </c>
      <c r="G555" s="1">
        <v>66678</v>
      </c>
      <c r="H555" s="1" cm="1">
        <f t="array" ref="H555">IF(TRIM(G555)="",
   MEDIAN(IFERROR(--SUBSTITUTE(SUBSTITUTE(SUBSTITUTE(SUBSTITUTE(SUBSTITUTE(SUBSTITUTE(G$2:G$747,"Rs.",""),"INR",""),"₹",""),"â‚¹",""),"$","")," ",""),"")),
   IFERROR(--SUBSTITUTE(SUBSTITUTE(SUBSTITUTE(SUBSTITUTE(SUBSTITUTE(SUBSTITUTE(TRIM(G555),"Rs.",""),"INR",""),"₹",""),"â‚¹",""),"$","")," ",""),"")
)</f>
        <v>66678</v>
      </c>
      <c r="I555" s="1" t="str">
        <f t="shared" si="25"/>
        <v>Nill</v>
      </c>
      <c r="J555" s="1">
        <f t="shared" si="26"/>
        <v>66678</v>
      </c>
      <c r="K555" s="1" t="s">
        <v>25</v>
      </c>
      <c r="L555" s="1" t="s">
        <v>299</v>
      </c>
      <c r="M555" s="1" t="s">
        <v>190</v>
      </c>
      <c r="N555"/>
    </row>
    <row r="556" spans="1:14" x14ac:dyDescent="0.25">
      <c r="A556" s="1" t="s">
        <v>1138</v>
      </c>
      <c r="B556" s="1" t="s">
        <v>37</v>
      </c>
      <c r="C556" s="5">
        <v>44531</v>
      </c>
      <c r="D556" s="6">
        <f t="shared" si="24"/>
        <v>44531</v>
      </c>
      <c r="E556" s="1" t="s">
        <v>11</v>
      </c>
      <c r="F556" s="1" t="s">
        <v>85</v>
      </c>
      <c r="G556" s="1">
        <v>4953</v>
      </c>
      <c r="H556" s="1" cm="1">
        <f t="array" ref="H556">IF(TRIM(G556)="",
   MEDIAN(IFERROR(--SUBSTITUTE(SUBSTITUTE(SUBSTITUTE(SUBSTITUTE(SUBSTITUTE(SUBSTITUTE(G$2:G$747,"Rs.",""),"INR",""),"₹",""),"â‚¹",""),"$","")," ",""),"")),
   IFERROR(--SUBSTITUTE(SUBSTITUTE(SUBSTITUTE(SUBSTITUTE(SUBSTITUTE(SUBSTITUTE(TRIM(G556),"Rs.",""),"INR",""),"₹",""),"â‚¹",""),"$","")," ",""),"")
)</f>
        <v>4953</v>
      </c>
      <c r="I556" s="1">
        <f t="shared" si="25"/>
        <v>4953</v>
      </c>
      <c r="J556" s="1" t="str">
        <f t="shared" si="26"/>
        <v>Nill</v>
      </c>
      <c r="K556" s="1" t="s">
        <v>172</v>
      </c>
      <c r="L556" s="1" t="s">
        <v>198</v>
      </c>
      <c r="M556" s="1" t="s">
        <v>76</v>
      </c>
      <c r="N556"/>
    </row>
    <row r="557" spans="1:14" x14ac:dyDescent="0.25">
      <c r="A557" s="1" t="s">
        <v>107</v>
      </c>
      <c r="B557" s="1" t="s">
        <v>108</v>
      </c>
      <c r="C557" s="5">
        <v>44558</v>
      </c>
      <c r="D557" s="6">
        <f t="shared" si="24"/>
        <v>44558</v>
      </c>
      <c r="E557" s="1" t="s">
        <v>11</v>
      </c>
      <c r="F557" s="1" t="s">
        <v>158</v>
      </c>
      <c r="G557" s="1" t="s">
        <v>109</v>
      </c>
      <c r="H557" s="1" cm="1">
        <f t="array" ref="H557">IF(TRIM(G557)="",
   MEDIAN(IFERROR(--SUBSTITUTE(SUBSTITUTE(SUBSTITUTE(SUBSTITUTE(SUBSTITUTE(SUBSTITUTE(G$2:G$747,"Rs.",""),"INR",""),"₹",""),"â‚¹",""),"$","")," ",""),"")),
   IFERROR(--SUBSTITUTE(SUBSTITUTE(SUBSTITUTE(SUBSTITUTE(SUBSTITUTE(SUBSTITUTE(TRIM(G557),"Rs.",""),"INR",""),"₹",""),"â‚¹",""),"$","")," ",""),"")
)</f>
        <v>4189</v>
      </c>
      <c r="I557" s="1">
        <f t="shared" si="25"/>
        <v>4189</v>
      </c>
      <c r="J557" s="1" t="str">
        <f t="shared" si="26"/>
        <v>Nill</v>
      </c>
      <c r="K557" s="1" t="s">
        <v>110</v>
      </c>
      <c r="L557" s="1" t="s">
        <v>81</v>
      </c>
      <c r="M557" s="1" t="s">
        <v>41</v>
      </c>
      <c r="N557"/>
    </row>
    <row r="558" spans="1:14" x14ac:dyDescent="0.25">
      <c r="A558" s="1" t="s">
        <v>652</v>
      </c>
      <c r="B558" s="1" t="s">
        <v>457</v>
      </c>
      <c r="C558" s="5">
        <v>44746</v>
      </c>
      <c r="D558" s="6">
        <f t="shared" si="24"/>
        <v>44746</v>
      </c>
      <c r="E558" s="1" t="s">
        <v>11</v>
      </c>
      <c r="F558" s="1" t="s">
        <v>85</v>
      </c>
      <c r="G558" s="1">
        <v>9675</v>
      </c>
      <c r="H558" s="1" cm="1">
        <f t="array" ref="H558">IF(TRIM(G558)="",
   MEDIAN(IFERROR(--SUBSTITUTE(SUBSTITUTE(SUBSTITUTE(SUBSTITUTE(SUBSTITUTE(SUBSTITUTE(G$2:G$747,"Rs.",""),"INR",""),"₹",""),"â‚¹",""),"$","")," ",""),"")),
   IFERROR(--SUBSTITUTE(SUBSTITUTE(SUBSTITUTE(SUBSTITUTE(SUBSTITUTE(SUBSTITUTE(TRIM(G558),"Rs.",""),"INR",""),"₹",""),"â‚¹",""),"$","")," ",""),"")
)</f>
        <v>9675</v>
      </c>
      <c r="I558" s="1">
        <f t="shared" si="25"/>
        <v>9675</v>
      </c>
      <c r="J558" s="1" t="str">
        <f t="shared" si="26"/>
        <v>Nill</v>
      </c>
      <c r="K558" s="1" t="s">
        <v>138</v>
      </c>
      <c r="L558" s="1" t="s">
        <v>198</v>
      </c>
      <c r="M558" s="1" t="s">
        <v>70</v>
      </c>
      <c r="N558"/>
    </row>
    <row r="559" spans="1:14" x14ac:dyDescent="0.25">
      <c r="A559" s="1" t="s">
        <v>572</v>
      </c>
      <c r="B559" s="1" t="s">
        <v>573</v>
      </c>
      <c r="C559" s="5">
        <v>44978</v>
      </c>
      <c r="D559" s="6">
        <f t="shared" si="24"/>
        <v>44978</v>
      </c>
      <c r="E559" s="1" t="s">
        <v>11</v>
      </c>
      <c r="F559" s="1" t="s">
        <v>69</v>
      </c>
      <c r="G559" s="1">
        <v>4816</v>
      </c>
      <c r="H559" s="1" cm="1">
        <f t="array" ref="H559">IF(TRIM(G559)="",
   MEDIAN(IFERROR(--SUBSTITUTE(SUBSTITUTE(SUBSTITUTE(SUBSTITUTE(SUBSTITUTE(SUBSTITUTE(G$2:G$747,"Rs.",""),"INR",""),"₹",""),"â‚¹",""),"$","")," ",""),"")),
   IFERROR(--SUBSTITUTE(SUBSTITUTE(SUBSTITUTE(SUBSTITUTE(SUBSTITUTE(SUBSTITUTE(TRIM(G559),"Rs.",""),"INR",""),"₹",""),"â‚¹",""),"$","")," ",""),"")
)</f>
        <v>4816</v>
      </c>
      <c r="I559" s="1">
        <f t="shared" si="25"/>
        <v>4816</v>
      </c>
      <c r="J559" s="1" t="str">
        <f t="shared" si="26"/>
        <v>Nill</v>
      </c>
      <c r="K559" s="1" t="s">
        <v>87</v>
      </c>
      <c r="L559" s="1" t="s">
        <v>167</v>
      </c>
      <c r="M559" s="1" t="s">
        <v>255</v>
      </c>
      <c r="N559"/>
    </row>
    <row r="560" spans="1:14" x14ac:dyDescent="0.25">
      <c r="A560" s="1" t="s">
        <v>1152</v>
      </c>
      <c r="B560" s="1" t="s">
        <v>101</v>
      </c>
      <c r="C560" s="5">
        <v>45481</v>
      </c>
      <c r="D560" s="6">
        <f t="shared" si="24"/>
        <v>45481</v>
      </c>
      <c r="E560" s="1" t="s">
        <v>11</v>
      </c>
      <c r="F560" s="1" t="s">
        <v>69</v>
      </c>
      <c r="G560" s="1" t="s">
        <v>1153</v>
      </c>
      <c r="H560" s="1" cm="1">
        <f t="array" ref="H560">IF(TRIM(G560)="",
   MEDIAN(IFERROR(--SUBSTITUTE(SUBSTITUTE(SUBSTITUTE(SUBSTITUTE(SUBSTITUTE(SUBSTITUTE(G$2:G$747,"Rs.",""),"INR",""),"₹",""),"â‚¹",""),"$","")," ",""),"")),
   IFERROR(--SUBSTITUTE(SUBSTITUTE(SUBSTITUTE(SUBSTITUTE(SUBSTITUTE(SUBSTITUTE(TRIM(G560),"Rs.",""),"INR",""),"₹",""),"â‚¹",""),"$","")," ",""),"")
)</f>
        <v>3765</v>
      </c>
      <c r="I560" s="1">
        <f t="shared" si="25"/>
        <v>3765</v>
      </c>
      <c r="J560" s="1" t="str">
        <f t="shared" si="26"/>
        <v>Nill</v>
      </c>
      <c r="K560" s="1" t="s">
        <v>25</v>
      </c>
      <c r="L560" s="1" t="s">
        <v>198</v>
      </c>
      <c r="M560" s="1" t="s">
        <v>122</v>
      </c>
      <c r="N560"/>
    </row>
    <row r="561" spans="1:14" x14ac:dyDescent="0.25">
      <c r="A561" s="1" t="s">
        <v>855</v>
      </c>
      <c r="B561" s="1" t="s">
        <v>596</v>
      </c>
      <c r="C561" s="5">
        <v>44207</v>
      </c>
      <c r="D561" s="6">
        <f t="shared" si="24"/>
        <v>44207</v>
      </c>
      <c r="E561" s="1" t="s">
        <v>11</v>
      </c>
      <c r="F561" s="1" t="s">
        <v>171</v>
      </c>
      <c r="G561" s="1">
        <v>29287</v>
      </c>
      <c r="H561" s="1" cm="1">
        <f t="array" ref="H561">IF(TRIM(G561)="",
   MEDIAN(IFERROR(--SUBSTITUTE(SUBSTITUTE(SUBSTITUTE(SUBSTITUTE(SUBSTITUTE(SUBSTITUTE(G$2:G$747,"Rs.",""),"INR",""),"₹",""),"â‚¹",""),"$","")," ",""),"")),
   IFERROR(--SUBSTITUTE(SUBSTITUTE(SUBSTITUTE(SUBSTITUTE(SUBSTITUTE(SUBSTITUTE(TRIM(G561),"Rs.",""),"INR",""),"₹",""),"â‚¹",""),"$","")," ",""),"")
)</f>
        <v>29287</v>
      </c>
      <c r="I561" s="1">
        <f t="shared" si="25"/>
        <v>29287</v>
      </c>
      <c r="J561" s="1" t="str">
        <f t="shared" si="26"/>
        <v>Nill</v>
      </c>
      <c r="K561" s="1" t="s">
        <v>110</v>
      </c>
      <c r="L561" s="1" t="s">
        <v>127</v>
      </c>
      <c r="M561" s="1" t="s">
        <v>122</v>
      </c>
      <c r="N561"/>
    </row>
    <row r="562" spans="1:14" x14ac:dyDescent="0.25">
      <c r="A562" s="1" t="s">
        <v>1208</v>
      </c>
      <c r="B562" s="1" t="s">
        <v>92</v>
      </c>
      <c r="C562" s="5">
        <v>44997</v>
      </c>
      <c r="D562" s="6">
        <f t="shared" si="24"/>
        <v>44997</v>
      </c>
      <c r="E562" s="1" t="s">
        <v>11</v>
      </c>
      <c r="F562" s="1" t="s">
        <v>69</v>
      </c>
      <c r="G562" s="1">
        <v>4597</v>
      </c>
      <c r="H562" s="1" cm="1">
        <f t="array" ref="H562">IF(TRIM(G562)="",
   MEDIAN(IFERROR(--SUBSTITUTE(SUBSTITUTE(SUBSTITUTE(SUBSTITUTE(SUBSTITUTE(SUBSTITUTE(G$2:G$747,"Rs.",""),"INR",""),"₹",""),"â‚¹",""),"$","")," ",""),"")),
   IFERROR(--SUBSTITUTE(SUBSTITUTE(SUBSTITUTE(SUBSTITUTE(SUBSTITUTE(SUBSTITUTE(TRIM(G562),"Rs.",""),"INR",""),"₹",""),"â‚¹",""),"$","")," ",""),"")
)</f>
        <v>4597</v>
      </c>
      <c r="I562" s="1">
        <f t="shared" si="25"/>
        <v>4597</v>
      </c>
      <c r="J562" s="1" t="str">
        <f t="shared" si="26"/>
        <v>Nill</v>
      </c>
      <c r="K562" s="1" t="s">
        <v>1253</v>
      </c>
      <c r="L562" s="1" t="s">
        <v>40</v>
      </c>
      <c r="M562" s="1" t="s">
        <v>70</v>
      </c>
      <c r="N562"/>
    </row>
    <row r="563" spans="1:14" x14ac:dyDescent="0.25">
      <c r="A563" s="1" t="s">
        <v>470</v>
      </c>
      <c r="B563" s="1" t="s">
        <v>310</v>
      </c>
      <c r="C563" s="5">
        <v>45367</v>
      </c>
      <c r="D563" s="6">
        <f t="shared" si="24"/>
        <v>45367</v>
      </c>
      <c r="E563" s="1" t="s">
        <v>11</v>
      </c>
      <c r="F563" s="1" t="s">
        <v>465</v>
      </c>
      <c r="G563" s="1" t="s">
        <v>471</v>
      </c>
      <c r="H563" s="1" cm="1">
        <f t="array" ref="H563">IF(TRIM(G563)="",
   MEDIAN(IFERROR(--SUBSTITUTE(SUBSTITUTE(SUBSTITUTE(SUBSTITUTE(SUBSTITUTE(SUBSTITUTE(G$2:G$747,"Rs.",""),"INR",""),"₹",""),"â‚¹",""),"$","")," ",""),"")),
   IFERROR(--SUBSTITUTE(SUBSTITUTE(SUBSTITUTE(SUBSTITUTE(SUBSTITUTE(SUBSTITUTE(TRIM(G563),"Rs.",""),"INR",""),"₹",""),"â‚¹",""),"$","")," ",""),"")
)</f>
        <v>3790</v>
      </c>
      <c r="I563" s="1">
        <f t="shared" si="25"/>
        <v>3790</v>
      </c>
      <c r="J563" s="1" t="str">
        <f t="shared" si="26"/>
        <v>Nill</v>
      </c>
      <c r="K563" s="1" t="s">
        <v>12</v>
      </c>
      <c r="L563" s="1" t="s">
        <v>13</v>
      </c>
      <c r="M563" s="1" t="s">
        <v>1253</v>
      </c>
      <c r="N563"/>
    </row>
    <row r="564" spans="1:14" x14ac:dyDescent="0.25">
      <c r="A564" s="1" t="s">
        <v>713</v>
      </c>
      <c r="B564" s="1" t="s">
        <v>43</v>
      </c>
      <c r="C564" s="5">
        <v>44309</v>
      </c>
      <c r="D564" s="6">
        <f t="shared" si="24"/>
        <v>44309</v>
      </c>
      <c r="E564" s="1" t="s">
        <v>11</v>
      </c>
      <c r="F564" s="1" t="s">
        <v>171</v>
      </c>
      <c r="G564" s="1" t="s">
        <v>714</v>
      </c>
      <c r="H564" s="1" cm="1">
        <f t="array" ref="H564">IF(TRIM(G564)="",
   MEDIAN(IFERROR(--SUBSTITUTE(SUBSTITUTE(SUBSTITUTE(SUBSTITUTE(SUBSTITUTE(SUBSTITUTE(G$2:G$747,"Rs.",""),"INR",""),"₹",""),"â‚¹",""),"$","")," ",""),"")),
   IFERROR(--SUBSTITUTE(SUBSTITUTE(SUBSTITUTE(SUBSTITUTE(SUBSTITUTE(SUBSTITUTE(TRIM(G564),"Rs.",""),"INR",""),"₹",""),"â‚¹",""),"$","")," ",""),"")
)</f>
        <v>9714</v>
      </c>
      <c r="I564" s="1">
        <f t="shared" si="25"/>
        <v>9714</v>
      </c>
      <c r="J564" s="1" t="str">
        <f t="shared" si="26"/>
        <v>Nill</v>
      </c>
      <c r="K564" s="1" t="s">
        <v>261</v>
      </c>
      <c r="L564" s="1" t="s">
        <v>127</v>
      </c>
      <c r="M564" s="1" t="s">
        <v>54</v>
      </c>
      <c r="N564"/>
    </row>
    <row r="565" spans="1:14" x14ac:dyDescent="0.25">
      <c r="A565" s="1" t="s">
        <v>456</v>
      </c>
      <c r="B565" s="1" t="s">
        <v>457</v>
      </c>
      <c r="C565" s="1" t="s">
        <v>458</v>
      </c>
      <c r="D565" s="6">
        <f t="shared" si="24"/>
        <v>45282</v>
      </c>
      <c r="E565" s="1" t="s">
        <v>11</v>
      </c>
      <c r="F565" s="1" t="s">
        <v>69</v>
      </c>
      <c r="G565" s="1">
        <v>314</v>
      </c>
      <c r="H565" s="1" cm="1">
        <f t="array" ref="H565">IF(TRIM(G565)="",
   MEDIAN(IFERROR(--SUBSTITUTE(SUBSTITUTE(SUBSTITUTE(SUBSTITUTE(SUBSTITUTE(SUBSTITUTE(G$2:G$747,"Rs.",""),"INR",""),"₹",""),"â‚¹",""),"$","")," ",""),"")),
   IFERROR(--SUBSTITUTE(SUBSTITUTE(SUBSTITUTE(SUBSTITUTE(SUBSTITUTE(SUBSTITUTE(TRIM(G565),"Rs.",""),"INR",""),"₹",""),"â‚¹",""),"$","")," ",""),"")
)</f>
        <v>314</v>
      </c>
      <c r="I565" s="1">
        <f t="shared" si="25"/>
        <v>314</v>
      </c>
      <c r="J565" s="1" t="str">
        <f t="shared" si="26"/>
        <v>Nill</v>
      </c>
      <c r="K565" s="1" t="s">
        <v>261</v>
      </c>
      <c r="L565" s="1" t="s">
        <v>198</v>
      </c>
      <c r="M565" s="1" t="s">
        <v>133</v>
      </c>
      <c r="N565"/>
    </row>
    <row r="566" spans="1:14" x14ac:dyDescent="0.25">
      <c r="A566" s="1" t="s">
        <v>327</v>
      </c>
      <c r="B566" s="1" t="s">
        <v>121</v>
      </c>
      <c r="C566" s="5">
        <v>44954</v>
      </c>
      <c r="D566" s="6">
        <f t="shared" si="24"/>
        <v>44954</v>
      </c>
      <c r="E566" s="1" t="s">
        <v>11</v>
      </c>
      <c r="F566" s="1" t="s">
        <v>85</v>
      </c>
      <c r="G566" s="1" t="s">
        <v>328</v>
      </c>
      <c r="H566" s="1" cm="1">
        <f t="array" ref="H566">IF(TRIM(G566)="",
   MEDIAN(IFERROR(--SUBSTITUTE(SUBSTITUTE(SUBSTITUTE(SUBSTITUTE(SUBSTITUTE(SUBSTITUTE(G$2:G$747,"Rs.",""),"INR",""),"₹",""),"â‚¹",""),"$","")," ",""),"")),
   IFERROR(--SUBSTITUTE(SUBSTITUTE(SUBSTITUTE(SUBSTITUTE(SUBSTITUTE(SUBSTITUTE(TRIM(G566),"Rs.",""),"INR",""),"₹",""),"â‚¹",""),"$","")," ",""),"")
)</f>
        <v>8305</v>
      </c>
      <c r="I566" s="1">
        <f t="shared" si="25"/>
        <v>8305</v>
      </c>
      <c r="J566" s="1" t="str">
        <f t="shared" si="26"/>
        <v>Nill</v>
      </c>
      <c r="K566" s="1" t="s">
        <v>87</v>
      </c>
      <c r="L566" s="1" t="s">
        <v>167</v>
      </c>
      <c r="M566" s="1" t="s">
        <v>35</v>
      </c>
      <c r="N566"/>
    </row>
    <row r="567" spans="1:14" x14ac:dyDescent="0.25">
      <c r="A567" s="1" t="s">
        <v>278</v>
      </c>
      <c r="B567" s="1" t="s">
        <v>279</v>
      </c>
      <c r="D567" s="6" t="str">
        <f t="shared" si="24"/>
        <v>unknown</v>
      </c>
      <c r="E567" s="1" t="s">
        <v>11</v>
      </c>
      <c r="F567" s="1" t="s">
        <v>69</v>
      </c>
      <c r="G567" s="1">
        <v>425</v>
      </c>
      <c r="H567" s="1" cm="1">
        <f t="array" ref="H567">IF(TRIM(G567)="",
   MEDIAN(IFERROR(--SUBSTITUTE(SUBSTITUTE(SUBSTITUTE(SUBSTITUTE(SUBSTITUTE(SUBSTITUTE(G$2:G$747,"Rs.",""),"INR",""),"₹",""),"â‚¹",""),"$","")," ",""),"")),
   IFERROR(--SUBSTITUTE(SUBSTITUTE(SUBSTITUTE(SUBSTITUTE(SUBSTITUTE(SUBSTITUTE(TRIM(G567),"Rs.",""),"INR",""),"₹",""),"â‚¹",""),"$","")," ",""),"")
)</f>
        <v>425</v>
      </c>
      <c r="I567" s="1">
        <f t="shared" si="25"/>
        <v>425</v>
      </c>
      <c r="J567" s="1" t="str">
        <f t="shared" si="26"/>
        <v>Nill</v>
      </c>
      <c r="K567" s="1" t="s">
        <v>25</v>
      </c>
      <c r="L567" s="1" t="s">
        <v>97</v>
      </c>
      <c r="M567" s="1" t="s">
        <v>210</v>
      </c>
      <c r="N567"/>
    </row>
    <row r="568" spans="1:14" x14ac:dyDescent="0.25">
      <c r="A568" s="1" t="s">
        <v>566</v>
      </c>
      <c r="B568" s="1" t="s">
        <v>419</v>
      </c>
      <c r="C568" s="5">
        <v>45216</v>
      </c>
      <c r="D568" s="6">
        <f t="shared" si="24"/>
        <v>45216</v>
      </c>
      <c r="E568" s="1" t="s">
        <v>11</v>
      </c>
      <c r="F568" s="1" t="s">
        <v>69</v>
      </c>
      <c r="G568" s="1">
        <v>8640</v>
      </c>
      <c r="H568" s="1" cm="1">
        <f t="array" ref="H568">IF(TRIM(G568)="",
   MEDIAN(IFERROR(--SUBSTITUTE(SUBSTITUTE(SUBSTITUTE(SUBSTITUTE(SUBSTITUTE(SUBSTITUTE(G$2:G$747,"Rs.",""),"INR",""),"₹",""),"â‚¹",""),"$","")," ",""),"")),
   IFERROR(--SUBSTITUTE(SUBSTITUTE(SUBSTITUTE(SUBSTITUTE(SUBSTITUTE(SUBSTITUTE(TRIM(G568),"Rs.",""),"INR",""),"₹",""),"â‚¹",""),"$","")," ",""),"")
)</f>
        <v>8640</v>
      </c>
      <c r="I568" s="1">
        <f t="shared" si="25"/>
        <v>8640</v>
      </c>
      <c r="J568" s="1" t="str">
        <f t="shared" si="26"/>
        <v>Nill</v>
      </c>
      <c r="K568" s="1" t="s">
        <v>204</v>
      </c>
      <c r="L568" s="1" t="s">
        <v>97</v>
      </c>
      <c r="M568" s="1" t="s">
        <v>113</v>
      </c>
      <c r="N568"/>
    </row>
    <row r="569" spans="1:14" x14ac:dyDescent="0.25">
      <c r="A569" s="1" t="s">
        <v>561</v>
      </c>
      <c r="B569" s="1" t="s">
        <v>219</v>
      </c>
      <c r="C569" s="5">
        <v>45081</v>
      </c>
      <c r="D569" s="6">
        <f t="shared" si="24"/>
        <v>45081</v>
      </c>
      <c r="E569" s="1" t="s">
        <v>11</v>
      </c>
      <c r="F569" s="1" t="s">
        <v>171</v>
      </c>
      <c r="G569" s="1">
        <v>4331</v>
      </c>
      <c r="H569" s="1" cm="1">
        <f t="array" ref="H569">IF(TRIM(G569)="",
   MEDIAN(IFERROR(--SUBSTITUTE(SUBSTITUTE(SUBSTITUTE(SUBSTITUTE(SUBSTITUTE(SUBSTITUTE(G$2:G$747,"Rs.",""),"INR",""),"₹",""),"â‚¹",""),"$","")," ",""),"")),
   IFERROR(--SUBSTITUTE(SUBSTITUTE(SUBSTITUTE(SUBSTITUTE(SUBSTITUTE(SUBSTITUTE(TRIM(G569),"Rs.",""),"INR",""),"₹",""),"â‚¹",""),"$","")," ",""),"")
)</f>
        <v>4331</v>
      </c>
      <c r="I569" s="1">
        <f t="shared" si="25"/>
        <v>4331</v>
      </c>
      <c r="J569" s="1" t="str">
        <f t="shared" si="26"/>
        <v>Nill</v>
      </c>
      <c r="K569" s="1" t="s">
        <v>138</v>
      </c>
      <c r="L569" s="1" t="s">
        <v>17</v>
      </c>
      <c r="M569" s="1" t="s">
        <v>133</v>
      </c>
      <c r="N569"/>
    </row>
    <row r="570" spans="1:14" x14ac:dyDescent="0.25">
      <c r="A570" s="1" t="s">
        <v>500</v>
      </c>
      <c r="B570" s="1" t="s">
        <v>222</v>
      </c>
      <c r="C570" s="5">
        <v>44787</v>
      </c>
      <c r="D570" s="6">
        <f t="shared" si="24"/>
        <v>44787</v>
      </c>
      <c r="E570" s="1" t="s">
        <v>11</v>
      </c>
      <c r="F570" s="1" t="s">
        <v>69</v>
      </c>
      <c r="H570" s="1" cm="1">
        <f t="array" ref="H570">IF(TRIM(G570)="",
   MEDIAN(IFERROR(--SUBSTITUTE(SUBSTITUTE(SUBSTITUTE(SUBSTITUTE(SUBSTITUTE(SUBSTITUTE(G$2:G$747,"Rs.",""),"INR",""),"₹",""),"â‚¹",""),"$","")," ",""),"")),
   IFERROR(--SUBSTITUTE(SUBSTITUTE(SUBSTITUTE(SUBSTITUTE(SUBSTITUTE(SUBSTITUTE(TRIM(G570),"Rs.",""),"INR",""),"₹",""),"â‚¹",""),"$","")," ",""),"")
)</f>
        <v>5935</v>
      </c>
      <c r="I570" s="1">
        <f t="shared" si="25"/>
        <v>5935</v>
      </c>
      <c r="J570" s="1" t="str">
        <f t="shared" si="26"/>
        <v>Nill</v>
      </c>
      <c r="K570" s="1" t="s">
        <v>261</v>
      </c>
      <c r="L570" s="1" t="s">
        <v>97</v>
      </c>
      <c r="M570" s="1" t="s">
        <v>1253</v>
      </c>
      <c r="N570"/>
    </row>
    <row r="571" spans="1:14" x14ac:dyDescent="0.25">
      <c r="A571" s="1" t="s">
        <v>273</v>
      </c>
      <c r="B571" s="1" t="s">
        <v>274</v>
      </c>
      <c r="C571" s="5">
        <v>44787</v>
      </c>
      <c r="D571" s="6">
        <f t="shared" si="24"/>
        <v>44787</v>
      </c>
      <c r="E571" s="1" t="s">
        <v>11</v>
      </c>
      <c r="F571" s="1" t="s">
        <v>69</v>
      </c>
      <c r="G571" s="1">
        <v>2637</v>
      </c>
      <c r="H571" s="1" cm="1">
        <f t="array" ref="H571">IF(TRIM(G571)="",
   MEDIAN(IFERROR(--SUBSTITUTE(SUBSTITUTE(SUBSTITUTE(SUBSTITUTE(SUBSTITUTE(SUBSTITUTE(G$2:G$747,"Rs.",""),"INR",""),"₹",""),"â‚¹",""),"$","")," ",""),"")),
   IFERROR(--SUBSTITUTE(SUBSTITUTE(SUBSTITUTE(SUBSTITUTE(SUBSTITUTE(SUBSTITUTE(TRIM(G571),"Rs.",""),"INR",""),"₹",""),"â‚¹",""),"$","")," ",""),"")
)</f>
        <v>2637</v>
      </c>
      <c r="I571" s="1">
        <f t="shared" si="25"/>
        <v>2637</v>
      </c>
      <c r="J571" s="1" t="str">
        <f t="shared" si="26"/>
        <v>Nill</v>
      </c>
      <c r="K571" s="1" t="s">
        <v>138</v>
      </c>
      <c r="L571" s="1" t="s">
        <v>97</v>
      </c>
      <c r="M571" s="1" t="s">
        <v>252</v>
      </c>
      <c r="N571"/>
    </row>
    <row r="572" spans="1:14" x14ac:dyDescent="0.25">
      <c r="A572" s="1" t="s">
        <v>934</v>
      </c>
      <c r="B572" s="1" t="s">
        <v>243</v>
      </c>
      <c r="C572" s="5">
        <v>45056</v>
      </c>
      <c r="D572" s="6">
        <f t="shared" si="24"/>
        <v>45056</v>
      </c>
      <c r="E572" s="1" t="s">
        <v>11</v>
      </c>
      <c r="F572" s="1" t="s">
        <v>171</v>
      </c>
      <c r="G572" s="1">
        <v>6358</v>
      </c>
      <c r="H572" s="1" cm="1">
        <f t="array" ref="H572">IF(TRIM(G572)="",
   MEDIAN(IFERROR(--SUBSTITUTE(SUBSTITUTE(SUBSTITUTE(SUBSTITUTE(SUBSTITUTE(SUBSTITUTE(G$2:G$747,"Rs.",""),"INR",""),"₹",""),"â‚¹",""),"$","")," ",""),"")),
   IFERROR(--SUBSTITUTE(SUBSTITUTE(SUBSTITUTE(SUBSTITUTE(SUBSTITUTE(SUBSTITUTE(TRIM(G572),"Rs.",""),"INR",""),"₹",""),"â‚¹",""),"$","")," ",""),"")
)</f>
        <v>6358</v>
      </c>
      <c r="I572" s="1">
        <f t="shared" si="25"/>
        <v>6358</v>
      </c>
      <c r="J572" s="1" t="str">
        <f t="shared" si="26"/>
        <v>Nill</v>
      </c>
      <c r="K572" s="1" t="s">
        <v>12</v>
      </c>
      <c r="L572" s="1" t="s">
        <v>81</v>
      </c>
      <c r="M572" s="1" t="s">
        <v>41</v>
      </c>
      <c r="N572"/>
    </row>
    <row r="573" spans="1:14" x14ac:dyDescent="0.25">
      <c r="A573" s="1" t="s">
        <v>996</v>
      </c>
      <c r="B573" s="1" t="s">
        <v>997</v>
      </c>
      <c r="C573" s="5">
        <v>45140</v>
      </c>
      <c r="D573" s="6">
        <f t="shared" si="24"/>
        <v>45140</v>
      </c>
      <c r="E573" s="1" t="s">
        <v>11</v>
      </c>
      <c r="F573" s="1" t="s">
        <v>85</v>
      </c>
      <c r="G573" s="1" t="s">
        <v>998</v>
      </c>
      <c r="H573" s="1" cm="1">
        <f t="array" ref="H573">IF(TRIM(G573)="",
   MEDIAN(IFERROR(--SUBSTITUTE(SUBSTITUTE(SUBSTITUTE(SUBSTITUTE(SUBSTITUTE(SUBSTITUTE(G$2:G$747,"Rs.",""),"INR",""),"₹",""),"â‚¹",""),"$","")," ",""),"")),
   IFERROR(--SUBSTITUTE(SUBSTITUTE(SUBSTITUTE(SUBSTITUTE(SUBSTITUTE(SUBSTITUTE(TRIM(G573),"Rs.",""),"INR",""),"₹",""),"â‚¹",""),"$","")," ",""),"")
)</f>
        <v>1868</v>
      </c>
      <c r="I573" s="1">
        <f t="shared" si="25"/>
        <v>1868</v>
      </c>
      <c r="J573" s="1" t="str">
        <f t="shared" si="26"/>
        <v>Nill</v>
      </c>
      <c r="K573" s="1" t="s">
        <v>261</v>
      </c>
      <c r="L573" s="1" t="s">
        <v>81</v>
      </c>
      <c r="M573" s="1" t="s">
        <v>49</v>
      </c>
      <c r="N573"/>
    </row>
    <row r="574" spans="1:14" x14ac:dyDescent="0.25">
      <c r="A574" s="1" t="s">
        <v>1161</v>
      </c>
      <c r="B574" s="1" t="s">
        <v>61</v>
      </c>
      <c r="C574" s="5">
        <v>44771</v>
      </c>
      <c r="D574" s="6">
        <f t="shared" si="24"/>
        <v>44771</v>
      </c>
      <c r="E574" s="1" t="s">
        <v>20</v>
      </c>
      <c r="F574" s="1" t="s">
        <v>21</v>
      </c>
      <c r="G574" s="1">
        <v>50581</v>
      </c>
      <c r="H574" s="1" cm="1">
        <f t="array" ref="H574">IF(TRIM(G574)="",
   MEDIAN(IFERROR(--SUBSTITUTE(SUBSTITUTE(SUBSTITUTE(SUBSTITUTE(SUBSTITUTE(SUBSTITUTE(G$2:G$747,"Rs.",""),"INR",""),"₹",""),"â‚¹",""),"$","")," ",""),"")),
   IFERROR(--SUBSTITUTE(SUBSTITUTE(SUBSTITUTE(SUBSTITUTE(SUBSTITUTE(SUBSTITUTE(TRIM(G574),"Rs.",""),"INR",""),"₹",""),"â‚¹",""),"$","")," ",""),"")
)</f>
        <v>50581</v>
      </c>
      <c r="I574" s="1" t="str">
        <f t="shared" si="25"/>
        <v>Nill</v>
      </c>
      <c r="J574" s="1">
        <f t="shared" si="26"/>
        <v>50581</v>
      </c>
      <c r="K574" s="1" t="s">
        <v>172</v>
      </c>
      <c r="L574" s="1" t="s">
        <v>1252</v>
      </c>
      <c r="M574" s="1" t="s">
        <v>122</v>
      </c>
      <c r="N574"/>
    </row>
    <row r="575" spans="1:14" x14ac:dyDescent="0.25">
      <c r="A575" s="1" t="s">
        <v>1013</v>
      </c>
      <c r="B575" s="1" t="s">
        <v>407</v>
      </c>
      <c r="C575" s="5">
        <v>45281</v>
      </c>
      <c r="D575" s="6">
        <f t="shared" si="24"/>
        <v>45281</v>
      </c>
      <c r="E575" s="1" t="s">
        <v>11</v>
      </c>
      <c r="F575" s="1" t="s">
        <v>171</v>
      </c>
      <c r="G575" s="1">
        <v>38973</v>
      </c>
      <c r="H575" s="1" cm="1">
        <f t="array" ref="H575">IF(TRIM(G575)="",
   MEDIAN(IFERROR(--SUBSTITUTE(SUBSTITUTE(SUBSTITUTE(SUBSTITUTE(SUBSTITUTE(SUBSTITUTE(G$2:G$747,"Rs.",""),"INR",""),"₹",""),"â‚¹",""),"$","")," ",""),"")),
   IFERROR(--SUBSTITUTE(SUBSTITUTE(SUBSTITUTE(SUBSTITUTE(SUBSTITUTE(SUBSTITUTE(TRIM(G575),"Rs.",""),"INR",""),"₹",""),"â‚¹",""),"$","")," ",""),"")
)</f>
        <v>38973</v>
      </c>
      <c r="I575" s="1">
        <f t="shared" si="25"/>
        <v>38973</v>
      </c>
      <c r="J575" s="1" t="str">
        <f t="shared" si="26"/>
        <v>Nill</v>
      </c>
      <c r="K575" s="1" t="s">
        <v>53</v>
      </c>
      <c r="L575" s="1" t="s">
        <v>127</v>
      </c>
      <c r="M575" s="1" t="s">
        <v>252</v>
      </c>
      <c r="N575"/>
    </row>
    <row r="576" spans="1:14" x14ac:dyDescent="0.25">
      <c r="A576" s="1" t="s">
        <v>820</v>
      </c>
      <c r="B576" s="1" t="s">
        <v>174</v>
      </c>
      <c r="C576" s="5">
        <v>45271</v>
      </c>
      <c r="D576" s="6">
        <f t="shared" si="24"/>
        <v>45271</v>
      </c>
      <c r="E576" s="1" t="s">
        <v>20</v>
      </c>
      <c r="F576" s="1" t="s">
        <v>21</v>
      </c>
      <c r="G576" s="1">
        <v>44802</v>
      </c>
      <c r="H576" s="1" cm="1">
        <f t="array" ref="H576">IF(TRIM(G576)="",
   MEDIAN(IFERROR(--SUBSTITUTE(SUBSTITUTE(SUBSTITUTE(SUBSTITUTE(SUBSTITUTE(SUBSTITUTE(G$2:G$747,"Rs.",""),"INR",""),"₹",""),"â‚¹",""),"$","")," ",""),"")),
   IFERROR(--SUBSTITUTE(SUBSTITUTE(SUBSTITUTE(SUBSTITUTE(SUBSTITUTE(SUBSTITUTE(TRIM(G576),"Rs.",""),"INR",""),"₹",""),"â‚¹",""),"$","")," ",""),"")
)</f>
        <v>44802</v>
      </c>
      <c r="I576" s="1" t="str">
        <f t="shared" si="25"/>
        <v>Nill</v>
      </c>
      <c r="J576" s="1">
        <f t="shared" si="26"/>
        <v>44802</v>
      </c>
      <c r="K576" s="1" t="s">
        <v>12</v>
      </c>
      <c r="L576" s="1" t="s">
        <v>40</v>
      </c>
      <c r="M576" s="1" t="s">
        <v>41</v>
      </c>
      <c r="N576"/>
    </row>
    <row r="577" spans="1:14" x14ac:dyDescent="0.25">
      <c r="A577" s="1" t="s">
        <v>957</v>
      </c>
      <c r="B577" s="1" t="s">
        <v>160</v>
      </c>
      <c r="C577" s="5">
        <v>45446</v>
      </c>
      <c r="D577" s="6">
        <f t="shared" si="24"/>
        <v>45446</v>
      </c>
      <c r="E577" s="1" t="s">
        <v>11</v>
      </c>
      <c r="F577" s="1" t="s">
        <v>85</v>
      </c>
      <c r="G577" s="1">
        <v>1098</v>
      </c>
      <c r="H577" s="1" cm="1">
        <f t="array" ref="H577">IF(TRIM(G577)="",
   MEDIAN(IFERROR(--SUBSTITUTE(SUBSTITUTE(SUBSTITUTE(SUBSTITUTE(SUBSTITUTE(SUBSTITUTE(G$2:G$747,"Rs.",""),"INR",""),"₹",""),"â‚¹",""),"$","")," ",""),"")),
   IFERROR(--SUBSTITUTE(SUBSTITUTE(SUBSTITUTE(SUBSTITUTE(SUBSTITUTE(SUBSTITUTE(TRIM(G577),"Rs.",""),"INR",""),"₹",""),"â‚¹",""),"$","")," ",""),"")
)</f>
        <v>1098</v>
      </c>
      <c r="I577" s="1">
        <f t="shared" si="25"/>
        <v>1098</v>
      </c>
      <c r="J577" s="1" t="str">
        <f t="shared" si="26"/>
        <v>Nill</v>
      </c>
      <c r="K577" s="1" t="s">
        <v>1253</v>
      </c>
      <c r="L577" s="1" t="s">
        <v>167</v>
      </c>
      <c r="M577" s="1" t="s">
        <v>1253</v>
      </c>
      <c r="N577"/>
    </row>
    <row r="578" spans="1:14" x14ac:dyDescent="0.25">
      <c r="A578" s="1" t="s">
        <v>858</v>
      </c>
      <c r="B578" s="1" t="s">
        <v>19</v>
      </c>
      <c r="C578" s="5">
        <v>45239</v>
      </c>
      <c r="D578" s="6">
        <f t="shared" ref="D578:D641" si="27">IF(ISBLANK(C578),("unknown"),IF(ISNUMBER(C578),C578,DATE(RIGHT(C578,4),LEFT(C578,2),MID(C578,4,2))))</f>
        <v>45239</v>
      </c>
      <c r="E578" s="1" t="s">
        <v>11</v>
      </c>
      <c r="F578" s="1" t="s">
        <v>158</v>
      </c>
      <c r="G578" s="1">
        <v>3891</v>
      </c>
      <c r="H578" s="1" cm="1">
        <f t="array" ref="H578">IF(TRIM(G578)="",
   MEDIAN(IFERROR(--SUBSTITUTE(SUBSTITUTE(SUBSTITUTE(SUBSTITUTE(SUBSTITUTE(SUBSTITUTE(G$2:G$747,"Rs.",""),"INR",""),"₹",""),"â‚¹",""),"$","")," ",""),"")),
   IFERROR(--SUBSTITUTE(SUBSTITUTE(SUBSTITUTE(SUBSTITUTE(SUBSTITUTE(SUBSTITUTE(TRIM(G578),"Rs.",""),"INR",""),"₹",""),"â‚¹",""),"$","")," ",""),"")
)</f>
        <v>3891</v>
      </c>
      <c r="I578" s="1">
        <f t="shared" ref="I578:I641" si="28">IF(E578="Expense",H578,"Nill")</f>
        <v>3891</v>
      </c>
      <c r="J578" s="1" t="str">
        <f t="shared" ref="J578:J641" si="29">IF(E578="Income",H578,"Nill")</f>
        <v>Nill</v>
      </c>
      <c r="K578" s="1" t="s">
        <v>204</v>
      </c>
      <c r="L578" s="1" t="s">
        <v>17</v>
      </c>
      <c r="M578" s="1" t="s">
        <v>82</v>
      </c>
      <c r="N578"/>
    </row>
    <row r="579" spans="1:14" x14ac:dyDescent="0.25">
      <c r="A579" s="1" t="s">
        <v>803</v>
      </c>
      <c r="B579" s="1" t="s">
        <v>64</v>
      </c>
      <c r="C579" s="5">
        <v>45507</v>
      </c>
      <c r="D579" s="6">
        <f t="shared" si="27"/>
        <v>45507</v>
      </c>
      <c r="E579" s="1" t="s">
        <v>11</v>
      </c>
      <c r="F579" s="1" t="s">
        <v>69</v>
      </c>
      <c r="G579" s="1">
        <v>1574</v>
      </c>
      <c r="H579" s="1" cm="1">
        <f t="array" ref="H579">IF(TRIM(G579)="",
   MEDIAN(IFERROR(--SUBSTITUTE(SUBSTITUTE(SUBSTITUTE(SUBSTITUTE(SUBSTITUTE(SUBSTITUTE(G$2:G$747,"Rs.",""),"INR",""),"₹",""),"â‚¹",""),"$","")," ",""),"")),
   IFERROR(--SUBSTITUTE(SUBSTITUTE(SUBSTITUTE(SUBSTITUTE(SUBSTITUTE(SUBSTITUTE(TRIM(G579),"Rs.",""),"INR",""),"₹",""),"â‚¹",""),"$","")," ",""),"")
)</f>
        <v>1574</v>
      </c>
      <c r="I579" s="1">
        <f t="shared" si="28"/>
        <v>1574</v>
      </c>
      <c r="J579" s="1" t="str">
        <f t="shared" si="29"/>
        <v>Nill</v>
      </c>
      <c r="K579" s="1" t="s">
        <v>12</v>
      </c>
      <c r="L579" s="1" t="s">
        <v>127</v>
      </c>
      <c r="M579" s="1" t="s">
        <v>76</v>
      </c>
      <c r="N579"/>
    </row>
    <row r="580" spans="1:14" x14ac:dyDescent="0.25">
      <c r="A580" s="1" t="s">
        <v>649</v>
      </c>
      <c r="B580" s="1" t="s">
        <v>155</v>
      </c>
      <c r="C580" s="5">
        <v>44208</v>
      </c>
      <c r="D580" s="6">
        <f t="shared" si="27"/>
        <v>44208</v>
      </c>
      <c r="E580" s="1" t="s">
        <v>11</v>
      </c>
      <c r="F580" s="1" t="s">
        <v>69</v>
      </c>
      <c r="G580" s="1">
        <v>8687</v>
      </c>
      <c r="H580" s="1" cm="1">
        <f t="array" ref="H580">IF(TRIM(G580)="",
   MEDIAN(IFERROR(--SUBSTITUTE(SUBSTITUTE(SUBSTITUTE(SUBSTITUTE(SUBSTITUTE(SUBSTITUTE(G$2:G$747,"Rs.",""),"INR",""),"₹",""),"â‚¹",""),"$","")," ",""),"")),
   IFERROR(--SUBSTITUTE(SUBSTITUTE(SUBSTITUTE(SUBSTITUTE(SUBSTITUTE(SUBSTITUTE(TRIM(G580),"Rs.",""),"INR",""),"₹",""),"â‚¹",""),"$","")," ",""),"")
)</f>
        <v>8687</v>
      </c>
      <c r="I580" s="1">
        <f t="shared" si="28"/>
        <v>8687</v>
      </c>
      <c r="J580" s="1" t="str">
        <f t="shared" si="29"/>
        <v>Nill</v>
      </c>
      <c r="K580" s="1" t="s">
        <v>1253</v>
      </c>
      <c r="L580" s="1" t="s">
        <v>81</v>
      </c>
      <c r="M580" s="1" t="s">
        <v>113</v>
      </c>
      <c r="N580"/>
    </row>
    <row r="581" spans="1:14" x14ac:dyDescent="0.25">
      <c r="A581" s="1" t="s">
        <v>129</v>
      </c>
      <c r="B581" s="1" t="s">
        <v>130</v>
      </c>
      <c r="C581" s="1" t="s">
        <v>131</v>
      </c>
      <c r="D581" s="6">
        <f t="shared" si="27"/>
        <v>44910</v>
      </c>
      <c r="E581" s="1" t="s">
        <v>11</v>
      </c>
      <c r="F581" s="1" t="s">
        <v>171</v>
      </c>
      <c r="G581" s="1" t="s">
        <v>132</v>
      </c>
      <c r="H581" s="1" cm="1">
        <f t="array" ref="H581">IF(TRIM(G581)="",
   MEDIAN(IFERROR(--SUBSTITUTE(SUBSTITUTE(SUBSTITUTE(SUBSTITUTE(SUBSTITUTE(SUBSTITUTE(G$2:G$747,"Rs.",""),"INR",""),"₹",""),"â‚¹",""),"$","")," ",""),"")),
   IFERROR(--SUBSTITUTE(SUBSTITUTE(SUBSTITUTE(SUBSTITUTE(SUBSTITUTE(SUBSTITUTE(TRIM(G581),"Rs.",""),"INR",""),"₹",""),"â‚¹",""),"$","")," ",""),"")
)</f>
        <v>1380</v>
      </c>
      <c r="I581" s="1">
        <f t="shared" si="28"/>
        <v>1380</v>
      </c>
      <c r="J581" s="1" t="str">
        <f t="shared" si="29"/>
        <v>Nill</v>
      </c>
      <c r="K581" s="1" t="s">
        <v>25</v>
      </c>
      <c r="L581" s="1" t="s">
        <v>17</v>
      </c>
      <c r="M581" s="1" t="s">
        <v>133</v>
      </c>
      <c r="N581"/>
    </row>
    <row r="582" spans="1:14" x14ac:dyDescent="0.25">
      <c r="A582" s="1" t="s">
        <v>697</v>
      </c>
      <c r="B582" s="1" t="s">
        <v>324</v>
      </c>
      <c r="C582" s="5">
        <v>44704</v>
      </c>
      <c r="D582" s="6">
        <f t="shared" si="27"/>
        <v>44704</v>
      </c>
      <c r="E582" s="1" t="s">
        <v>20</v>
      </c>
      <c r="F582" s="1" t="s">
        <v>21</v>
      </c>
      <c r="G582" s="1">
        <v>43378</v>
      </c>
      <c r="H582" s="1" cm="1">
        <f t="array" ref="H582">IF(TRIM(G582)="",
   MEDIAN(IFERROR(--SUBSTITUTE(SUBSTITUTE(SUBSTITUTE(SUBSTITUTE(SUBSTITUTE(SUBSTITUTE(G$2:G$747,"Rs.",""),"INR",""),"₹",""),"â‚¹",""),"$","")," ",""),"")),
   IFERROR(--SUBSTITUTE(SUBSTITUTE(SUBSTITUTE(SUBSTITUTE(SUBSTITUTE(SUBSTITUTE(TRIM(G582),"Rs.",""),"INR",""),"₹",""),"â‚¹",""),"$","")," ",""),"")
)</f>
        <v>43378</v>
      </c>
      <c r="I582" s="1" t="str">
        <f t="shared" si="28"/>
        <v>Nill</v>
      </c>
      <c r="J582" s="1">
        <f t="shared" si="29"/>
        <v>43378</v>
      </c>
      <c r="K582" s="1" t="s">
        <v>48</v>
      </c>
      <c r="L582" s="1" t="s">
        <v>1252</v>
      </c>
      <c r="M582" s="1" t="s">
        <v>1253</v>
      </c>
      <c r="N582"/>
    </row>
    <row r="583" spans="1:14" x14ac:dyDescent="0.25">
      <c r="A583" s="1" t="s">
        <v>926</v>
      </c>
      <c r="B583" s="1" t="s">
        <v>455</v>
      </c>
      <c r="C583" s="5">
        <v>45067</v>
      </c>
      <c r="D583" s="6">
        <f t="shared" si="27"/>
        <v>45067</v>
      </c>
      <c r="E583" s="1" t="s">
        <v>11</v>
      </c>
      <c r="F583" s="1" t="s">
        <v>465</v>
      </c>
      <c r="G583" s="1">
        <v>7691</v>
      </c>
      <c r="H583" s="1" cm="1">
        <f t="array" ref="H583">IF(TRIM(G583)="",
   MEDIAN(IFERROR(--SUBSTITUTE(SUBSTITUTE(SUBSTITUTE(SUBSTITUTE(SUBSTITUTE(SUBSTITUTE(G$2:G$747,"Rs.",""),"INR",""),"₹",""),"â‚¹",""),"$","")," ",""),"")),
   IFERROR(--SUBSTITUTE(SUBSTITUTE(SUBSTITUTE(SUBSTITUTE(SUBSTITUTE(SUBSTITUTE(TRIM(G583),"Rs.",""),"INR",""),"₹",""),"â‚¹",""),"$","")," ",""),"")
)</f>
        <v>7691</v>
      </c>
      <c r="I583" s="1">
        <f t="shared" si="28"/>
        <v>7691</v>
      </c>
      <c r="J583" s="1" t="str">
        <f t="shared" si="29"/>
        <v>Nill</v>
      </c>
      <c r="K583" s="1" t="s">
        <v>172</v>
      </c>
      <c r="L583" s="1" t="s">
        <v>97</v>
      </c>
      <c r="M583" s="1" t="s">
        <v>1253</v>
      </c>
      <c r="N583"/>
    </row>
    <row r="584" spans="1:14" x14ac:dyDescent="0.25">
      <c r="A584" s="1" t="s">
        <v>57</v>
      </c>
      <c r="B584" s="1" t="s">
        <v>58</v>
      </c>
      <c r="C584" s="5">
        <v>44304</v>
      </c>
      <c r="D584" s="6">
        <f t="shared" si="27"/>
        <v>44304</v>
      </c>
      <c r="E584" s="1" t="s">
        <v>11</v>
      </c>
      <c r="F584" s="1" t="s">
        <v>249</v>
      </c>
      <c r="G584" s="1" t="s">
        <v>59</v>
      </c>
      <c r="H584" s="1" cm="1">
        <f t="array" ref="H584">IF(TRIM(G584)="",
   MEDIAN(IFERROR(--SUBSTITUTE(SUBSTITUTE(SUBSTITUTE(SUBSTITUTE(SUBSTITUTE(SUBSTITUTE(G$2:G$747,"Rs.",""),"INR",""),"₹",""),"â‚¹",""),"$","")," ",""),"")),
   IFERROR(--SUBSTITUTE(SUBSTITUTE(SUBSTITUTE(SUBSTITUTE(SUBSTITUTE(SUBSTITUTE(TRIM(G584),"Rs.",""),"INR",""),"₹",""),"â‚¹",""),"$","")," ",""),"")
)</f>
        <v>4262</v>
      </c>
      <c r="I584" s="1">
        <f t="shared" si="28"/>
        <v>4262</v>
      </c>
      <c r="J584" s="1" t="str">
        <f t="shared" si="29"/>
        <v>Nill</v>
      </c>
      <c r="K584" s="1" t="s">
        <v>48</v>
      </c>
      <c r="L584" s="1" t="s">
        <v>13</v>
      </c>
      <c r="M584" s="1" t="s">
        <v>41</v>
      </c>
      <c r="N584"/>
    </row>
    <row r="585" spans="1:14" x14ac:dyDescent="0.25">
      <c r="A585" s="1" t="s">
        <v>1189</v>
      </c>
      <c r="B585" s="1" t="s">
        <v>315</v>
      </c>
      <c r="C585" s="5">
        <v>44380</v>
      </c>
      <c r="D585" s="6">
        <f t="shared" si="27"/>
        <v>44380</v>
      </c>
      <c r="E585" s="1" t="s">
        <v>11</v>
      </c>
      <c r="F585" s="1" t="s">
        <v>249</v>
      </c>
      <c r="G585" s="1">
        <v>1346</v>
      </c>
      <c r="H585" s="1" cm="1">
        <f t="array" ref="H585">IF(TRIM(G585)="",
   MEDIAN(IFERROR(--SUBSTITUTE(SUBSTITUTE(SUBSTITUTE(SUBSTITUTE(SUBSTITUTE(SUBSTITUTE(G$2:G$747,"Rs.",""),"INR",""),"₹",""),"â‚¹",""),"$","")," ",""),"")),
   IFERROR(--SUBSTITUTE(SUBSTITUTE(SUBSTITUTE(SUBSTITUTE(SUBSTITUTE(SUBSTITUTE(TRIM(G585),"Rs.",""),"INR",""),"₹",""),"â‚¹",""),"$","")," ",""),"")
)</f>
        <v>1346</v>
      </c>
      <c r="I585" s="1">
        <f t="shared" si="28"/>
        <v>1346</v>
      </c>
      <c r="J585" s="1" t="str">
        <f t="shared" si="29"/>
        <v>Nill</v>
      </c>
      <c r="K585" s="1" t="s">
        <v>25</v>
      </c>
      <c r="L585" s="1" t="s">
        <v>198</v>
      </c>
      <c r="M585" s="1" t="s">
        <v>210</v>
      </c>
      <c r="N585"/>
    </row>
    <row r="586" spans="1:14" x14ac:dyDescent="0.25">
      <c r="A586" s="1" t="s">
        <v>1017</v>
      </c>
      <c r="B586" s="1" t="s">
        <v>513</v>
      </c>
      <c r="C586" s="5">
        <v>44864</v>
      </c>
      <c r="D586" s="6">
        <f t="shared" si="27"/>
        <v>44864</v>
      </c>
      <c r="E586" s="1" t="s">
        <v>11</v>
      </c>
      <c r="F586" s="1" t="s">
        <v>30</v>
      </c>
      <c r="G586" s="1">
        <v>7773</v>
      </c>
      <c r="H586" s="1" cm="1">
        <f t="array" ref="H586">IF(TRIM(G586)="",
   MEDIAN(IFERROR(--SUBSTITUTE(SUBSTITUTE(SUBSTITUTE(SUBSTITUTE(SUBSTITUTE(SUBSTITUTE(G$2:G$747,"Rs.",""),"INR",""),"₹",""),"â‚¹",""),"$","")," ",""),"")),
   IFERROR(--SUBSTITUTE(SUBSTITUTE(SUBSTITUTE(SUBSTITUTE(SUBSTITUTE(SUBSTITUTE(TRIM(G586),"Rs.",""),"INR",""),"₹",""),"â‚¹",""),"$","")," ",""),"")
)</f>
        <v>7773</v>
      </c>
      <c r="I586" s="1">
        <f t="shared" si="28"/>
        <v>7773</v>
      </c>
      <c r="J586" s="1" t="str">
        <f t="shared" si="29"/>
        <v>Nill</v>
      </c>
      <c r="K586" s="1" t="s">
        <v>138</v>
      </c>
      <c r="L586" s="1" t="s">
        <v>40</v>
      </c>
      <c r="M586" s="1" t="s">
        <v>210</v>
      </c>
      <c r="N586"/>
    </row>
    <row r="587" spans="1:14" x14ac:dyDescent="0.25">
      <c r="A587" s="1" t="s">
        <v>909</v>
      </c>
      <c r="B587" s="1" t="s">
        <v>56</v>
      </c>
      <c r="C587" s="5">
        <v>45274</v>
      </c>
      <c r="D587" s="6">
        <f t="shared" si="27"/>
        <v>45274</v>
      </c>
      <c r="E587" s="1" t="s">
        <v>11</v>
      </c>
      <c r="F587" s="1" t="s">
        <v>171</v>
      </c>
      <c r="G587" s="1">
        <v>6168</v>
      </c>
      <c r="H587" s="1" cm="1">
        <f t="array" ref="H587">IF(TRIM(G587)="",
   MEDIAN(IFERROR(--SUBSTITUTE(SUBSTITUTE(SUBSTITUTE(SUBSTITUTE(SUBSTITUTE(SUBSTITUTE(G$2:G$747,"Rs.",""),"INR",""),"₹",""),"â‚¹",""),"$","")," ",""),"")),
   IFERROR(--SUBSTITUTE(SUBSTITUTE(SUBSTITUTE(SUBSTITUTE(SUBSTITUTE(SUBSTITUTE(TRIM(G587),"Rs.",""),"INR",""),"₹",""),"â‚¹",""),"$","")," ",""),"")
)</f>
        <v>6168</v>
      </c>
      <c r="I587" s="1">
        <f t="shared" si="28"/>
        <v>6168</v>
      </c>
      <c r="J587" s="1" t="str">
        <f t="shared" si="29"/>
        <v>Nill</v>
      </c>
      <c r="K587" s="1" t="s">
        <v>1253</v>
      </c>
      <c r="L587" s="1" t="s">
        <v>198</v>
      </c>
      <c r="M587" s="1" t="s">
        <v>255</v>
      </c>
      <c r="N587"/>
    </row>
    <row r="588" spans="1:14" x14ac:dyDescent="0.25">
      <c r="A588" s="1" t="s">
        <v>237</v>
      </c>
      <c r="B588" s="1" t="s">
        <v>238</v>
      </c>
      <c r="C588" s="5">
        <v>45548</v>
      </c>
      <c r="D588" s="6">
        <f t="shared" si="27"/>
        <v>45548</v>
      </c>
      <c r="E588" s="1" t="s">
        <v>20</v>
      </c>
      <c r="F588" s="1" t="s">
        <v>239</v>
      </c>
      <c r="G588" s="1">
        <v>62193</v>
      </c>
      <c r="H588" s="1" cm="1">
        <f t="array" ref="H588">IF(TRIM(G588)="",
   MEDIAN(IFERROR(--SUBSTITUTE(SUBSTITUTE(SUBSTITUTE(SUBSTITUTE(SUBSTITUTE(SUBSTITUTE(G$2:G$747,"Rs.",""),"INR",""),"₹",""),"â‚¹",""),"$","")," ",""),"")),
   IFERROR(--SUBSTITUTE(SUBSTITUTE(SUBSTITUTE(SUBSTITUTE(SUBSTITUTE(SUBSTITUTE(TRIM(G588),"Rs.",""),"INR",""),"₹",""),"â‚¹",""),"$","")," ",""),"")
)</f>
        <v>62193</v>
      </c>
      <c r="I588" s="1" t="str">
        <f t="shared" si="28"/>
        <v>Nill</v>
      </c>
      <c r="J588" s="1">
        <f t="shared" si="29"/>
        <v>62193</v>
      </c>
      <c r="K588" s="1" t="s">
        <v>172</v>
      </c>
      <c r="L588" s="1" t="s">
        <v>299</v>
      </c>
      <c r="M588" s="1" t="s">
        <v>26</v>
      </c>
      <c r="N588"/>
    </row>
    <row r="589" spans="1:14" x14ac:dyDescent="0.25">
      <c r="A589" s="1" t="s">
        <v>237</v>
      </c>
      <c r="B589" s="1" t="s">
        <v>121</v>
      </c>
      <c r="C589" s="5">
        <v>45336</v>
      </c>
      <c r="D589" s="6">
        <f t="shared" si="27"/>
        <v>45336</v>
      </c>
      <c r="E589" s="1" t="s">
        <v>11</v>
      </c>
      <c r="F589" s="1" t="s">
        <v>30</v>
      </c>
      <c r="G589" s="1">
        <v>6805</v>
      </c>
      <c r="H589" s="1" cm="1">
        <f t="array" ref="H589">IF(TRIM(G589)="",
   MEDIAN(IFERROR(--SUBSTITUTE(SUBSTITUTE(SUBSTITUTE(SUBSTITUTE(SUBSTITUTE(SUBSTITUTE(G$2:G$747,"Rs.",""),"INR",""),"₹",""),"â‚¹",""),"$","")," ",""),"")),
   IFERROR(--SUBSTITUTE(SUBSTITUTE(SUBSTITUTE(SUBSTITUTE(SUBSTITUTE(SUBSTITUTE(TRIM(G589),"Rs.",""),"INR",""),"₹",""),"â‚¹",""),"$","")," ",""),"")
)</f>
        <v>6805</v>
      </c>
      <c r="I589" s="1">
        <f t="shared" si="28"/>
        <v>6805</v>
      </c>
      <c r="J589" s="1" t="str">
        <f t="shared" si="29"/>
        <v>Nill</v>
      </c>
      <c r="K589" s="1" t="s">
        <v>12</v>
      </c>
      <c r="L589" s="1" t="s">
        <v>81</v>
      </c>
      <c r="M589" s="1" t="s">
        <v>49</v>
      </c>
      <c r="N589"/>
    </row>
    <row r="590" spans="1:14" x14ac:dyDescent="0.25">
      <c r="A590" s="1" t="s">
        <v>1132</v>
      </c>
      <c r="B590" s="1" t="s">
        <v>84</v>
      </c>
      <c r="C590" s="5">
        <v>44308</v>
      </c>
      <c r="D590" s="6">
        <f t="shared" si="27"/>
        <v>44308</v>
      </c>
      <c r="E590" s="1" t="s">
        <v>11</v>
      </c>
      <c r="F590" s="1" t="s">
        <v>85</v>
      </c>
      <c r="G590" s="1" t="s">
        <v>1133</v>
      </c>
      <c r="H590" s="1" cm="1">
        <f t="array" ref="H590">IF(TRIM(G590)="",
   MEDIAN(IFERROR(--SUBSTITUTE(SUBSTITUTE(SUBSTITUTE(SUBSTITUTE(SUBSTITUTE(SUBSTITUTE(G$2:G$747,"Rs.",""),"INR",""),"₹",""),"â‚¹",""),"$","")," ",""),"")),
   IFERROR(--SUBSTITUTE(SUBSTITUTE(SUBSTITUTE(SUBSTITUTE(SUBSTITUTE(SUBSTITUTE(TRIM(G590),"Rs.",""),"INR",""),"₹",""),"â‚¹",""),"$","")," ",""),"")
)</f>
        <v>3869</v>
      </c>
      <c r="I590" s="1">
        <f t="shared" si="28"/>
        <v>3869</v>
      </c>
      <c r="J590" s="1" t="str">
        <f t="shared" si="29"/>
        <v>Nill</v>
      </c>
      <c r="K590" s="1" t="s">
        <v>138</v>
      </c>
      <c r="L590" s="1" t="s">
        <v>299</v>
      </c>
      <c r="M590" s="1" t="s">
        <v>113</v>
      </c>
      <c r="N590"/>
    </row>
    <row r="591" spans="1:14" x14ac:dyDescent="0.25">
      <c r="A591" s="1" t="s">
        <v>225</v>
      </c>
      <c r="B591" s="1" t="s">
        <v>226</v>
      </c>
      <c r="C591" s="1" t="s">
        <v>227</v>
      </c>
      <c r="D591" s="6">
        <f t="shared" si="27"/>
        <v>45466</v>
      </c>
      <c r="E591" s="1" t="s">
        <v>11</v>
      </c>
      <c r="F591" s="1" t="s">
        <v>158</v>
      </c>
      <c r="G591" s="1" t="s">
        <v>228</v>
      </c>
      <c r="H591" s="1" cm="1">
        <f t="array" ref="H591">IF(TRIM(G591)="",
   MEDIAN(IFERROR(--SUBSTITUTE(SUBSTITUTE(SUBSTITUTE(SUBSTITUTE(SUBSTITUTE(SUBSTITUTE(G$2:G$747,"Rs.",""),"INR",""),"₹",""),"â‚¹",""),"$","")," ",""),"")),
   IFERROR(--SUBSTITUTE(SUBSTITUTE(SUBSTITUTE(SUBSTITUTE(SUBSTITUTE(SUBSTITUTE(TRIM(G591),"Rs.",""),"INR",""),"₹",""),"â‚¹",""),"$","")," ",""),"")
)</f>
        <v>5756</v>
      </c>
      <c r="I591" s="1">
        <f t="shared" si="28"/>
        <v>5756</v>
      </c>
      <c r="J591" s="1" t="str">
        <f t="shared" si="29"/>
        <v>Nill</v>
      </c>
      <c r="K591" s="1" t="s">
        <v>53</v>
      </c>
      <c r="L591" s="1" t="s">
        <v>17</v>
      </c>
      <c r="M591" s="1" t="s">
        <v>1253</v>
      </c>
      <c r="N591"/>
    </row>
    <row r="592" spans="1:14" x14ac:dyDescent="0.25">
      <c r="A592" s="1" t="s">
        <v>629</v>
      </c>
      <c r="B592" s="1" t="s">
        <v>201</v>
      </c>
      <c r="C592" s="5">
        <v>44667</v>
      </c>
      <c r="D592" s="6">
        <f t="shared" si="27"/>
        <v>44667</v>
      </c>
      <c r="E592" s="1" t="s">
        <v>11</v>
      </c>
      <c r="F592" s="1" t="s">
        <v>759</v>
      </c>
      <c r="H592" s="1" cm="1">
        <f t="array" ref="H592">IF(TRIM(G592)="",
   MEDIAN(IFERROR(--SUBSTITUTE(SUBSTITUTE(SUBSTITUTE(SUBSTITUTE(SUBSTITUTE(SUBSTITUTE(G$2:G$747,"Rs.",""),"INR",""),"₹",""),"â‚¹",""),"$","")," ",""),"")),
   IFERROR(--SUBSTITUTE(SUBSTITUTE(SUBSTITUTE(SUBSTITUTE(SUBSTITUTE(SUBSTITUTE(TRIM(G592),"Rs.",""),"INR",""),"₹",""),"â‚¹",""),"$","")," ",""),"")
)</f>
        <v>5935</v>
      </c>
      <c r="I592" s="1">
        <f t="shared" si="28"/>
        <v>5935</v>
      </c>
      <c r="J592" s="1" t="str">
        <f t="shared" si="29"/>
        <v>Nill</v>
      </c>
      <c r="K592" s="1" t="s">
        <v>261</v>
      </c>
      <c r="L592" s="1" t="s">
        <v>127</v>
      </c>
      <c r="M592" s="1" t="s">
        <v>133</v>
      </c>
      <c r="N592"/>
    </row>
    <row r="593" spans="1:14" x14ac:dyDescent="0.25">
      <c r="A593" s="1" t="s">
        <v>664</v>
      </c>
      <c r="B593" s="1" t="s">
        <v>140</v>
      </c>
      <c r="C593" s="5">
        <v>45117</v>
      </c>
      <c r="D593" s="6">
        <f t="shared" si="27"/>
        <v>45117</v>
      </c>
      <c r="E593" s="1" t="s">
        <v>11</v>
      </c>
      <c r="F593" s="1" t="s">
        <v>171</v>
      </c>
      <c r="G593" s="1">
        <v>2824</v>
      </c>
      <c r="H593" s="1" cm="1">
        <f t="array" ref="H593">IF(TRIM(G593)="",
   MEDIAN(IFERROR(--SUBSTITUTE(SUBSTITUTE(SUBSTITUTE(SUBSTITUTE(SUBSTITUTE(SUBSTITUTE(G$2:G$747,"Rs.",""),"INR",""),"₹",""),"â‚¹",""),"$","")," ",""),"")),
   IFERROR(--SUBSTITUTE(SUBSTITUTE(SUBSTITUTE(SUBSTITUTE(SUBSTITUTE(SUBSTITUTE(TRIM(G593),"Rs.",""),"INR",""),"₹",""),"â‚¹",""),"$","")," ",""),"")
)</f>
        <v>2824</v>
      </c>
      <c r="I593" s="1">
        <f t="shared" si="28"/>
        <v>2824</v>
      </c>
      <c r="J593" s="1" t="str">
        <f t="shared" si="29"/>
        <v>Nill</v>
      </c>
      <c r="K593" s="1" t="s">
        <v>53</v>
      </c>
      <c r="L593" s="1" t="s">
        <v>13</v>
      </c>
      <c r="M593" s="1" t="s">
        <v>88</v>
      </c>
      <c r="N593"/>
    </row>
    <row r="594" spans="1:14" x14ac:dyDescent="0.25">
      <c r="A594" s="1" t="s">
        <v>745</v>
      </c>
      <c r="B594" s="1" t="s">
        <v>37</v>
      </c>
      <c r="C594" s="5">
        <v>44885</v>
      </c>
      <c r="D594" s="6">
        <f t="shared" si="27"/>
        <v>44885</v>
      </c>
      <c r="E594" s="1" t="s">
        <v>11</v>
      </c>
      <c r="F594" s="1" t="s">
        <v>171</v>
      </c>
      <c r="G594" s="1">
        <v>7109</v>
      </c>
      <c r="H594" s="1" cm="1">
        <f t="array" ref="H594">IF(TRIM(G594)="",
   MEDIAN(IFERROR(--SUBSTITUTE(SUBSTITUTE(SUBSTITUTE(SUBSTITUTE(SUBSTITUTE(SUBSTITUTE(G$2:G$747,"Rs.",""),"INR",""),"₹",""),"â‚¹",""),"$","")," ",""),"")),
   IFERROR(--SUBSTITUTE(SUBSTITUTE(SUBSTITUTE(SUBSTITUTE(SUBSTITUTE(SUBSTITUTE(TRIM(G594),"Rs.",""),"INR",""),"₹",""),"â‚¹",""),"$","")," ",""),"")
)</f>
        <v>7109</v>
      </c>
      <c r="I594" s="1">
        <f t="shared" si="28"/>
        <v>7109</v>
      </c>
      <c r="J594" s="1" t="str">
        <f t="shared" si="29"/>
        <v>Nill</v>
      </c>
      <c r="K594" s="1" t="s">
        <v>25</v>
      </c>
      <c r="L594" s="1" t="s">
        <v>127</v>
      </c>
      <c r="M594" s="1" t="s">
        <v>1253</v>
      </c>
      <c r="N594"/>
    </row>
    <row r="595" spans="1:14" x14ac:dyDescent="0.25">
      <c r="A595" s="1" t="s">
        <v>1103</v>
      </c>
      <c r="B595" s="1" t="s">
        <v>51</v>
      </c>
      <c r="C595" s="5">
        <v>44656</v>
      </c>
      <c r="D595" s="6">
        <f t="shared" si="27"/>
        <v>44656</v>
      </c>
      <c r="E595" s="1" t="s">
        <v>11</v>
      </c>
      <c r="F595" s="1" t="s">
        <v>85</v>
      </c>
      <c r="G595" s="1">
        <v>4005</v>
      </c>
      <c r="H595" s="1" cm="1">
        <f t="array" ref="H595">IF(TRIM(G595)="",
   MEDIAN(IFERROR(--SUBSTITUTE(SUBSTITUTE(SUBSTITUTE(SUBSTITUTE(SUBSTITUTE(SUBSTITUTE(G$2:G$747,"Rs.",""),"INR",""),"₹",""),"â‚¹",""),"$","")," ",""),"")),
   IFERROR(--SUBSTITUTE(SUBSTITUTE(SUBSTITUTE(SUBSTITUTE(SUBSTITUTE(SUBSTITUTE(TRIM(G595),"Rs.",""),"INR",""),"₹",""),"â‚¹",""),"$","")," ",""),"")
)</f>
        <v>4005</v>
      </c>
      <c r="I595" s="1">
        <f t="shared" si="28"/>
        <v>4005</v>
      </c>
      <c r="J595" s="1" t="str">
        <f t="shared" si="29"/>
        <v>Nill</v>
      </c>
      <c r="K595" s="1" t="s">
        <v>138</v>
      </c>
      <c r="L595" s="1" t="s">
        <v>97</v>
      </c>
      <c r="M595" s="1" t="s">
        <v>252</v>
      </c>
      <c r="N595"/>
    </row>
    <row r="596" spans="1:14" x14ac:dyDescent="0.25">
      <c r="A596" s="1" t="s">
        <v>397</v>
      </c>
      <c r="B596" s="1" t="s">
        <v>324</v>
      </c>
      <c r="C596" s="5">
        <v>44205</v>
      </c>
      <c r="D596" s="6">
        <f t="shared" si="27"/>
        <v>44205</v>
      </c>
      <c r="E596" s="1" t="s">
        <v>11</v>
      </c>
      <c r="F596" s="1" t="s">
        <v>249</v>
      </c>
      <c r="G596" s="1">
        <v>7391</v>
      </c>
      <c r="H596" s="1" cm="1">
        <f t="array" ref="H596">IF(TRIM(G596)="",
   MEDIAN(IFERROR(--SUBSTITUTE(SUBSTITUTE(SUBSTITUTE(SUBSTITUTE(SUBSTITUTE(SUBSTITUTE(G$2:G$747,"Rs.",""),"INR",""),"₹",""),"â‚¹",""),"$","")," ",""),"")),
   IFERROR(--SUBSTITUTE(SUBSTITUTE(SUBSTITUTE(SUBSTITUTE(SUBSTITUTE(SUBSTITUTE(TRIM(G596),"Rs.",""),"INR",""),"₹",""),"â‚¹",""),"$","")," ",""),"")
)</f>
        <v>7391</v>
      </c>
      <c r="I596" s="1">
        <f t="shared" si="28"/>
        <v>7391</v>
      </c>
      <c r="J596" s="1" t="str">
        <f t="shared" si="29"/>
        <v>Nill</v>
      </c>
      <c r="K596" s="1" t="s">
        <v>204</v>
      </c>
      <c r="L596" s="1" t="s">
        <v>17</v>
      </c>
      <c r="M596" s="1" t="s">
        <v>41</v>
      </c>
      <c r="N596"/>
    </row>
    <row r="597" spans="1:14" x14ac:dyDescent="0.25">
      <c r="A597" s="1" t="s">
        <v>423</v>
      </c>
      <c r="B597" s="1" t="s">
        <v>166</v>
      </c>
      <c r="C597" s="1" t="s">
        <v>424</v>
      </c>
      <c r="D597" s="6">
        <f t="shared" si="27"/>
        <v>44279</v>
      </c>
      <c r="E597" s="1" t="s">
        <v>11</v>
      </c>
      <c r="F597" s="1" t="s">
        <v>249</v>
      </c>
      <c r="G597" s="1">
        <v>6324</v>
      </c>
      <c r="H597" s="1" cm="1">
        <f t="array" ref="H597">IF(TRIM(G597)="",
   MEDIAN(IFERROR(--SUBSTITUTE(SUBSTITUTE(SUBSTITUTE(SUBSTITUTE(SUBSTITUTE(SUBSTITUTE(G$2:G$747,"Rs.",""),"INR",""),"₹",""),"â‚¹",""),"$","")," ",""),"")),
   IFERROR(--SUBSTITUTE(SUBSTITUTE(SUBSTITUTE(SUBSTITUTE(SUBSTITUTE(SUBSTITUTE(TRIM(G597),"Rs.",""),"INR",""),"₹",""),"â‚¹",""),"$","")," ",""),"")
)</f>
        <v>6324</v>
      </c>
      <c r="I597" s="1">
        <f t="shared" si="28"/>
        <v>6324</v>
      </c>
      <c r="J597" s="1" t="str">
        <f t="shared" si="29"/>
        <v>Nill</v>
      </c>
      <c r="K597" s="1" t="s">
        <v>12</v>
      </c>
      <c r="L597" s="1" t="s">
        <v>299</v>
      </c>
      <c r="M597" s="1" t="s">
        <v>54</v>
      </c>
      <c r="N597"/>
    </row>
    <row r="598" spans="1:14" x14ac:dyDescent="0.25">
      <c r="A598" s="1" t="s">
        <v>386</v>
      </c>
      <c r="B598" s="1" t="s">
        <v>295</v>
      </c>
      <c r="C598" s="5">
        <v>44531</v>
      </c>
      <c r="D598" s="6">
        <f t="shared" si="27"/>
        <v>44531</v>
      </c>
      <c r="E598" s="1" t="s">
        <v>11</v>
      </c>
      <c r="F598" s="1" t="s">
        <v>85</v>
      </c>
      <c r="G598" s="1">
        <v>1326</v>
      </c>
      <c r="H598" s="1" cm="1">
        <f t="array" ref="H598">IF(TRIM(G598)="",
   MEDIAN(IFERROR(--SUBSTITUTE(SUBSTITUTE(SUBSTITUTE(SUBSTITUTE(SUBSTITUTE(SUBSTITUTE(G$2:G$747,"Rs.",""),"INR",""),"₹",""),"â‚¹",""),"$","")," ",""),"")),
   IFERROR(--SUBSTITUTE(SUBSTITUTE(SUBSTITUTE(SUBSTITUTE(SUBSTITUTE(SUBSTITUTE(TRIM(G598),"Rs.",""),"INR",""),"₹",""),"â‚¹",""),"$","")," ",""),"")
)</f>
        <v>1326</v>
      </c>
      <c r="I598" s="1">
        <f t="shared" si="28"/>
        <v>1326</v>
      </c>
      <c r="J598" s="1" t="str">
        <f t="shared" si="29"/>
        <v>Nill</v>
      </c>
      <c r="K598" s="1" t="s">
        <v>110</v>
      </c>
      <c r="L598" s="1" t="s">
        <v>1252</v>
      </c>
      <c r="M598" s="1" t="s">
        <v>1253</v>
      </c>
      <c r="N598"/>
    </row>
    <row r="599" spans="1:14" x14ac:dyDescent="0.25">
      <c r="A599" s="1" t="s">
        <v>587</v>
      </c>
      <c r="B599" s="1" t="s">
        <v>274</v>
      </c>
      <c r="C599" s="5">
        <v>44699</v>
      </c>
      <c r="D599" s="6">
        <f t="shared" si="27"/>
        <v>44699</v>
      </c>
      <c r="E599" s="1" t="s">
        <v>11</v>
      </c>
      <c r="F599" s="1" t="s">
        <v>104</v>
      </c>
      <c r="G599" s="1">
        <v>7183</v>
      </c>
      <c r="H599" s="1" cm="1">
        <f t="array" ref="H599">IF(TRIM(G599)="",
   MEDIAN(IFERROR(--SUBSTITUTE(SUBSTITUTE(SUBSTITUTE(SUBSTITUTE(SUBSTITUTE(SUBSTITUTE(G$2:G$747,"Rs.",""),"INR",""),"₹",""),"â‚¹",""),"$","")," ",""),"")),
   IFERROR(--SUBSTITUTE(SUBSTITUTE(SUBSTITUTE(SUBSTITUTE(SUBSTITUTE(SUBSTITUTE(TRIM(G599),"Rs.",""),"INR",""),"₹",""),"â‚¹",""),"$","")," ",""),"")
)</f>
        <v>7183</v>
      </c>
      <c r="I599" s="1">
        <f t="shared" si="28"/>
        <v>7183</v>
      </c>
      <c r="J599" s="1" t="str">
        <f t="shared" si="29"/>
        <v>Nill</v>
      </c>
      <c r="K599" s="1" t="s">
        <v>204</v>
      </c>
      <c r="L599" s="1" t="s">
        <v>1252</v>
      </c>
      <c r="M599" s="1" t="s">
        <v>117</v>
      </c>
      <c r="N599"/>
    </row>
    <row r="600" spans="1:14" x14ac:dyDescent="0.25">
      <c r="A600" s="1" t="s">
        <v>1062</v>
      </c>
      <c r="B600" s="1" t="s">
        <v>573</v>
      </c>
      <c r="C600" s="5">
        <v>44453</v>
      </c>
      <c r="D600" s="6">
        <f t="shared" si="27"/>
        <v>44453</v>
      </c>
      <c r="E600" s="1" t="s">
        <v>20</v>
      </c>
      <c r="F600" s="1" t="s">
        <v>44</v>
      </c>
      <c r="G600" s="1">
        <v>66905</v>
      </c>
      <c r="H600" s="1" cm="1">
        <f t="array" ref="H600">IF(TRIM(G600)="",
   MEDIAN(IFERROR(--SUBSTITUTE(SUBSTITUTE(SUBSTITUTE(SUBSTITUTE(SUBSTITUTE(SUBSTITUTE(G$2:G$747,"Rs.",""),"INR",""),"₹",""),"â‚¹",""),"$","")," ",""),"")),
   IFERROR(--SUBSTITUTE(SUBSTITUTE(SUBSTITUTE(SUBSTITUTE(SUBSTITUTE(SUBSTITUTE(TRIM(G600),"Rs.",""),"INR",""),"₹",""),"â‚¹",""),"$","")," ",""),"")
)</f>
        <v>66905</v>
      </c>
      <c r="I600" s="1" t="str">
        <f t="shared" si="28"/>
        <v>Nill</v>
      </c>
      <c r="J600" s="1">
        <f t="shared" si="29"/>
        <v>66905</v>
      </c>
      <c r="K600" s="1" t="s">
        <v>110</v>
      </c>
      <c r="L600" s="1" t="s">
        <v>198</v>
      </c>
      <c r="M600" s="1" t="s">
        <v>35</v>
      </c>
      <c r="N600"/>
    </row>
    <row r="601" spans="1:14" x14ac:dyDescent="0.25">
      <c r="A601" s="1" t="s">
        <v>308</v>
      </c>
      <c r="B601" s="1" t="s">
        <v>176</v>
      </c>
      <c r="C601" s="5">
        <v>45014</v>
      </c>
      <c r="D601" s="6">
        <f t="shared" si="27"/>
        <v>45014</v>
      </c>
      <c r="E601" s="1" t="s">
        <v>11</v>
      </c>
      <c r="F601" s="1" t="s">
        <v>85</v>
      </c>
      <c r="G601" s="1">
        <v>9681</v>
      </c>
      <c r="H601" s="1" cm="1">
        <f t="array" ref="H601">IF(TRIM(G601)="",
   MEDIAN(IFERROR(--SUBSTITUTE(SUBSTITUTE(SUBSTITUTE(SUBSTITUTE(SUBSTITUTE(SUBSTITUTE(G$2:G$747,"Rs.",""),"INR",""),"₹",""),"â‚¹",""),"$","")," ",""),"")),
   IFERROR(--SUBSTITUTE(SUBSTITUTE(SUBSTITUTE(SUBSTITUTE(SUBSTITUTE(SUBSTITUTE(TRIM(G601),"Rs.",""),"INR",""),"₹",""),"â‚¹",""),"$","")," ",""),"")
)</f>
        <v>9681</v>
      </c>
      <c r="I601" s="1">
        <f t="shared" si="28"/>
        <v>9681</v>
      </c>
      <c r="J601" s="1" t="str">
        <f t="shared" si="29"/>
        <v>Nill</v>
      </c>
      <c r="K601" s="1" t="s">
        <v>172</v>
      </c>
      <c r="L601" s="1" t="s">
        <v>127</v>
      </c>
      <c r="M601" s="1" t="s">
        <v>128</v>
      </c>
      <c r="N601"/>
    </row>
    <row r="602" spans="1:14" x14ac:dyDescent="0.25">
      <c r="A602" s="1" t="s">
        <v>79</v>
      </c>
      <c r="B602" s="1" t="s">
        <v>80</v>
      </c>
      <c r="C602" s="5">
        <v>45556</v>
      </c>
      <c r="D602" s="6">
        <f t="shared" si="27"/>
        <v>45556</v>
      </c>
      <c r="E602" s="1" t="s">
        <v>11</v>
      </c>
      <c r="F602" s="1" t="s">
        <v>69</v>
      </c>
      <c r="G602" s="1">
        <v>222</v>
      </c>
      <c r="H602" s="1" cm="1">
        <f t="array" ref="H602">IF(TRIM(G602)="",
   MEDIAN(IFERROR(--SUBSTITUTE(SUBSTITUTE(SUBSTITUTE(SUBSTITUTE(SUBSTITUTE(SUBSTITUTE(G$2:G$747,"Rs.",""),"INR",""),"₹",""),"â‚¹",""),"$","")," ",""),"")),
   IFERROR(--SUBSTITUTE(SUBSTITUTE(SUBSTITUTE(SUBSTITUTE(SUBSTITUTE(SUBSTITUTE(TRIM(G602),"Rs.",""),"INR",""),"₹",""),"â‚¹",""),"$","")," ",""),"")
)</f>
        <v>222</v>
      </c>
      <c r="I602" s="1">
        <f t="shared" si="28"/>
        <v>222</v>
      </c>
      <c r="J602" s="1" t="str">
        <f t="shared" si="29"/>
        <v>Nill</v>
      </c>
      <c r="K602" s="1" t="s">
        <v>53</v>
      </c>
      <c r="L602" s="1" t="s">
        <v>81</v>
      </c>
      <c r="M602" s="1" t="s">
        <v>82</v>
      </c>
      <c r="N602"/>
    </row>
    <row r="603" spans="1:14" x14ac:dyDescent="0.25">
      <c r="A603" s="1" t="s">
        <v>584</v>
      </c>
      <c r="B603" s="1" t="s">
        <v>410</v>
      </c>
      <c r="C603" s="1" t="s">
        <v>585</v>
      </c>
      <c r="D603" s="6">
        <f t="shared" si="27"/>
        <v>44787</v>
      </c>
      <c r="E603" s="1" t="s">
        <v>20</v>
      </c>
      <c r="F603" s="1" t="s">
        <v>239</v>
      </c>
      <c r="G603" s="1">
        <v>67675</v>
      </c>
      <c r="H603" s="1" cm="1">
        <f t="array" ref="H603">IF(TRIM(G603)="",
   MEDIAN(IFERROR(--SUBSTITUTE(SUBSTITUTE(SUBSTITUTE(SUBSTITUTE(SUBSTITUTE(SUBSTITUTE(G$2:G$747,"Rs.",""),"INR",""),"₹",""),"â‚¹",""),"$","")," ",""),"")),
   IFERROR(--SUBSTITUTE(SUBSTITUTE(SUBSTITUTE(SUBSTITUTE(SUBSTITUTE(SUBSTITUTE(TRIM(G603),"Rs.",""),"INR",""),"₹",""),"â‚¹",""),"$","")," ",""),"")
)</f>
        <v>67675</v>
      </c>
      <c r="I603" s="1" t="str">
        <f t="shared" si="28"/>
        <v>Nill</v>
      </c>
      <c r="J603" s="1">
        <f t="shared" si="29"/>
        <v>67675</v>
      </c>
      <c r="K603" s="1" t="s">
        <v>25</v>
      </c>
      <c r="L603" s="1" t="s">
        <v>81</v>
      </c>
      <c r="M603" s="1" t="s">
        <v>1253</v>
      </c>
      <c r="N603"/>
    </row>
    <row r="604" spans="1:14" x14ac:dyDescent="0.25">
      <c r="A604" s="1" t="s">
        <v>584</v>
      </c>
      <c r="B604" s="1" t="s">
        <v>92</v>
      </c>
      <c r="C604" s="5">
        <v>44811</v>
      </c>
      <c r="D604" s="6">
        <f t="shared" si="27"/>
        <v>44811</v>
      </c>
      <c r="E604" s="1" t="s">
        <v>11</v>
      </c>
      <c r="F604" s="1" t="s">
        <v>69</v>
      </c>
      <c r="G604" s="1">
        <v>2236</v>
      </c>
      <c r="H604" s="1" cm="1">
        <f t="array" ref="H604">IF(TRIM(G604)="",
   MEDIAN(IFERROR(--SUBSTITUTE(SUBSTITUTE(SUBSTITUTE(SUBSTITUTE(SUBSTITUTE(SUBSTITUTE(G$2:G$747,"Rs.",""),"INR",""),"₹",""),"â‚¹",""),"$","")," ",""),"")),
   IFERROR(--SUBSTITUTE(SUBSTITUTE(SUBSTITUTE(SUBSTITUTE(SUBSTITUTE(SUBSTITUTE(TRIM(G604),"Rs.",""),"INR",""),"₹",""),"â‚¹",""),"$","")," ",""),"")
)</f>
        <v>2236</v>
      </c>
      <c r="I604" s="1">
        <f t="shared" si="28"/>
        <v>2236</v>
      </c>
      <c r="J604" s="1" t="str">
        <f t="shared" si="29"/>
        <v>Nill</v>
      </c>
      <c r="K604" s="1" t="s">
        <v>138</v>
      </c>
      <c r="L604" s="1" t="s">
        <v>299</v>
      </c>
      <c r="M604" s="1" t="s">
        <v>1253</v>
      </c>
      <c r="N604"/>
    </row>
    <row r="605" spans="1:14" x14ac:dyDescent="0.25">
      <c r="A605" s="1" t="s">
        <v>725</v>
      </c>
      <c r="B605" s="1" t="s">
        <v>153</v>
      </c>
      <c r="C605" s="1" t="s">
        <v>726</v>
      </c>
      <c r="D605" s="6">
        <f t="shared" si="27"/>
        <v>44223</v>
      </c>
      <c r="E605" s="1" t="s">
        <v>20</v>
      </c>
      <c r="F605" s="1" t="s">
        <v>52</v>
      </c>
      <c r="G605" s="1">
        <v>79870</v>
      </c>
      <c r="H605" s="1" cm="1">
        <f t="array" ref="H605">IF(TRIM(G605)="",
   MEDIAN(IFERROR(--SUBSTITUTE(SUBSTITUTE(SUBSTITUTE(SUBSTITUTE(SUBSTITUTE(SUBSTITUTE(G$2:G$747,"Rs.",""),"INR",""),"₹",""),"â‚¹",""),"$","")," ",""),"")),
   IFERROR(--SUBSTITUTE(SUBSTITUTE(SUBSTITUTE(SUBSTITUTE(SUBSTITUTE(SUBSTITUTE(TRIM(G605),"Rs.",""),"INR",""),"₹",""),"â‚¹",""),"$","")," ",""),"")
)</f>
        <v>79870</v>
      </c>
      <c r="I605" s="1" t="str">
        <f t="shared" si="28"/>
        <v>Nill</v>
      </c>
      <c r="J605" s="1">
        <f t="shared" si="29"/>
        <v>79870</v>
      </c>
      <c r="K605" s="1" t="s">
        <v>172</v>
      </c>
      <c r="L605" s="1" t="s">
        <v>167</v>
      </c>
      <c r="M605" s="1" t="s">
        <v>14</v>
      </c>
      <c r="N605"/>
    </row>
    <row r="606" spans="1:14" x14ac:dyDescent="0.25">
      <c r="A606" s="1" t="s">
        <v>821</v>
      </c>
      <c r="B606" s="1" t="s">
        <v>405</v>
      </c>
      <c r="C606" s="5">
        <v>44986</v>
      </c>
      <c r="D606" s="6">
        <f t="shared" si="27"/>
        <v>44986</v>
      </c>
      <c r="E606" s="1" t="s">
        <v>11</v>
      </c>
      <c r="F606" s="1" t="s">
        <v>171</v>
      </c>
      <c r="G606" s="1">
        <v>9188</v>
      </c>
      <c r="H606" s="1" cm="1">
        <f t="array" ref="H606">IF(TRIM(G606)="",
   MEDIAN(IFERROR(--SUBSTITUTE(SUBSTITUTE(SUBSTITUTE(SUBSTITUTE(SUBSTITUTE(SUBSTITUTE(G$2:G$747,"Rs.",""),"INR",""),"₹",""),"â‚¹",""),"$","")," ",""),"")),
   IFERROR(--SUBSTITUTE(SUBSTITUTE(SUBSTITUTE(SUBSTITUTE(SUBSTITUTE(SUBSTITUTE(TRIM(G606),"Rs.",""),"INR",""),"₹",""),"â‚¹",""),"$","")," ",""),"")
)</f>
        <v>9188</v>
      </c>
      <c r="I606" s="1">
        <f t="shared" si="28"/>
        <v>9188</v>
      </c>
      <c r="J606" s="1" t="str">
        <f t="shared" si="29"/>
        <v>Nill</v>
      </c>
      <c r="K606" s="1" t="s">
        <v>31</v>
      </c>
      <c r="L606" s="1" t="s">
        <v>13</v>
      </c>
      <c r="M606" s="1" t="s">
        <v>179</v>
      </c>
      <c r="N606"/>
    </row>
    <row r="607" spans="1:14" x14ac:dyDescent="0.25">
      <c r="A607" s="1" t="s">
        <v>415</v>
      </c>
      <c r="B607" s="1" t="s">
        <v>416</v>
      </c>
      <c r="C607" s="5">
        <v>45471</v>
      </c>
      <c r="D607" s="6">
        <f t="shared" si="27"/>
        <v>45471</v>
      </c>
      <c r="E607" s="1" t="s">
        <v>11</v>
      </c>
      <c r="F607" s="1" t="s">
        <v>158</v>
      </c>
      <c r="G607" s="1">
        <v>3150</v>
      </c>
      <c r="H607" s="1" cm="1">
        <f t="array" ref="H607">IF(TRIM(G607)="",
   MEDIAN(IFERROR(--SUBSTITUTE(SUBSTITUTE(SUBSTITUTE(SUBSTITUTE(SUBSTITUTE(SUBSTITUTE(G$2:G$747,"Rs.",""),"INR",""),"₹",""),"â‚¹",""),"$","")," ",""),"")),
   IFERROR(--SUBSTITUTE(SUBSTITUTE(SUBSTITUTE(SUBSTITUTE(SUBSTITUTE(SUBSTITUTE(TRIM(G607),"Rs.",""),"INR",""),"₹",""),"â‚¹",""),"$","")," ",""),"")
)</f>
        <v>3150</v>
      </c>
      <c r="I607" s="1">
        <f t="shared" si="28"/>
        <v>3150</v>
      </c>
      <c r="J607" s="1" t="str">
        <f t="shared" si="29"/>
        <v>Nill</v>
      </c>
      <c r="K607" s="1" t="s">
        <v>25</v>
      </c>
      <c r="L607" s="1" t="s">
        <v>13</v>
      </c>
      <c r="M607" s="1" t="s">
        <v>1253</v>
      </c>
      <c r="N607"/>
    </row>
    <row r="608" spans="1:14" x14ac:dyDescent="0.25">
      <c r="A608" s="1" t="s">
        <v>841</v>
      </c>
      <c r="B608" s="1" t="s">
        <v>96</v>
      </c>
      <c r="C608" s="5">
        <v>45252</v>
      </c>
      <c r="D608" s="6">
        <f t="shared" si="27"/>
        <v>45252</v>
      </c>
      <c r="E608" s="1" t="s">
        <v>20</v>
      </c>
      <c r="F608" s="1" t="s">
        <v>1253</v>
      </c>
      <c r="G608" s="1">
        <v>13959</v>
      </c>
      <c r="H608" s="1" cm="1">
        <f t="array" ref="H608">IF(TRIM(G608)="",
   MEDIAN(IFERROR(--SUBSTITUTE(SUBSTITUTE(SUBSTITUTE(SUBSTITUTE(SUBSTITUTE(SUBSTITUTE(G$2:G$747,"Rs.",""),"INR",""),"₹",""),"â‚¹",""),"$","")," ",""),"")),
   IFERROR(--SUBSTITUTE(SUBSTITUTE(SUBSTITUTE(SUBSTITUTE(SUBSTITUTE(SUBSTITUTE(TRIM(G608),"Rs.",""),"INR",""),"₹",""),"â‚¹",""),"$","")," ",""),"")
)</f>
        <v>13959</v>
      </c>
      <c r="I608" s="1" t="str">
        <f t="shared" si="28"/>
        <v>Nill</v>
      </c>
      <c r="J608" s="1">
        <f t="shared" si="29"/>
        <v>13959</v>
      </c>
      <c r="K608" s="1" t="s">
        <v>138</v>
      </c>
      <c r="L608" s="1" t="s">
        <v>299</v>
      </c>
      <c r="M608" s="1" t="s">
        <v>76</v>
      </c>
      <c r="N608"/>
    </row>
    <row r="609" spans="1:14" x14ac:dyDescent="0.25">
      <c r="A609" s="1" t="s">
        <v>537</v>
      </c>
      <c r="B609" s="1" t="s">
        <v>431</v>
      </c>
      <c r="C609" s="1" t="s">
        <v>538</v>
      </c>
      <c r="D609" s="6">
        <f t="shared" si="27"/>
        <v>45168</v>
      </c>
      <c r="E609" s="1" t="s">
        <v>11</v>
      </c>
      <c r="F609" s="1" t="s">
        <v>171</v>
      </c>
      <c r="G609" s="1">
        <v>28207</v>
      </c>
      <c r="H609" s="1" cm="1">
        <f t="array" ref="H609">IF(TRIM(G609)="",
   MEDIAN(IFERROR(--SUBSTITUTE(SUBSTITUTE(SUBSTITUTE(SUBSTITUTE(SUBSTITUTE(SUBSTITUTE(G$2:G$747,"Rs.",""),"INR",""),"₹",""),"â‚¹",""),"$","")," ",""),"")),
   IFERROR(--SUBSTITUTE(SUBSTITUTE(SUBSTITUTE(SUBSTITUTE(SUBSTITUTE(SUBSTITUTE(TRIM(G609),"Rs.",""),"INR",""),"₹",""),"â‚¹",""),"$","")," ",""),"")
)</f>
        <v>28207</v>
      </c>
      <c r="I609" s="1">
        <f t="shared" si="28"/>
        <v>28207</v>
      </c>
      <c r="J609" s="1" t="str">
        <f t="shared" si="29"/>
        <v>Nill</v>
      </c>
      <c r="K609" s="1" t="s">
        <v>25</v>
      </c>
      <c r="L609" s="1" t="s">
        <v>1252</v>
      </c>
      <c r="M609" s="1" t="s">
        <v>252</v>
      </c>
      <c r="N609"/>
    </row>
    <row r="610" spans="1:14" x14ac:dyDescent="0.25">
      <c r="A610" s="1" t="s">
        <v>275</v>
      </c>
      <c r="B610" s="1" t="s">
        <v>276</v>
      </c>
      <c r="C610" s="1" t="s">
        <v>277</v>
      </c>
      <c r="D610" s="6">
        <f t="shared" si="27"/>
        <v>45554</v>
      </c>
      <c r="E610" s="1" t="s">
        <v>11</v>
      </c>
      <c r="F610" s="1" t="s">
        <v>69</v>
      </c>
      <c r="G610" s="1">
        <v>1073</v>
      </c>
      <c r="H610" s="1" cm="1">
        <f t="array" ref="H610">IF(TRIM(G610)="",
   MEDIAN(IFERROR(--SUBSTITUTE(SUBSTITUTE(SUBSTITUTE(SUBSTITUTE(SUBSTITUTE(SUBSTITUTE(G$2:G$747,"Rs.",""),"INR",""),"₹",""),"â‚¹",""),"$","")," ",""),"")),
   IFERROR(--SUBSTITUTE(SUBSTITUTE(SUBSTITUTE(SUBSTITUTE(SUBSTITUTE(SUBSTITUTE(TRIM(G610),"Rs.",""),"INR",""),"₹",""),"â‚¹",""),"$","")," ",""),"")
)</f>
        <v>1073</v>
      </c>
      <c r="I610" s="1">
        <f t="shared" si="28"/>
        <v>1073</v>
      </c>
      <c r="J610" s="1" t="str">
        <f t="shared" si="29"/>
        <v>Nill</v>
      </c>
      <c r="K610" s="1" t="s">
        <v>12</v>
      </c>
      <c r="L610" s="1" t="s">
        <v>40</v>
      </c>
      <c r="M610" s="1" t="s">
        <v>1253</v>
      </c>
      <c r="N610"/>
    </row>
    <row r="611" spans="1:14" x14ac:dyDescent="0.25">
      <c r="A611" s="1" t="s">
        <v>163</v>
      </c>
      <c r="B611" s="1" t="s">
        <v>164</v>
      </c>
      <c r="C611" s="5">
        <v>44618</v>
      </c>
      <c r="D611" s="6">
        <f t="shared" si="27"/>
        <v>44618</v>
      </c>
      <c r="E611" s="1" t="s">
        <v>11</v>
      </c>
      <c r="F611" s="1" t="s">
        <v>30</v>
      </c>
      <c r="G611" s="1">
        <v>371</v>
      </c>
      <c r="H611" s="1" cm="1">
        <f t="array" ref="H611">IF(TRIM(G611)="",
   MEDIAN(IFERROR(--SUBSTITUTE(SUBSTITUTE(SUBSTITUTE(SUBSTITUTE(SUBSTITUTE(SUBSTITUTE(G$2:G$747,"Rs.",""),"INR",""),"₹",""),"â‚¹",""),"$","")," ",""),"")),
   IFERROR(--SUBSTITUTE(SUBSTITUTE(SUBSTITUTE(SUBSTITUTE(SUBSTITUTE(SUBSTITUTE(TRIM(G611),"Rs.",""),"INR",""),"₹",""),"â‚¹",""),"$","")," ",""),"")
)</f>
        <v>371</v>
      </c>
      <c r="I611" s="1">
        <f t="shared" si="28"/>
        <v>371</v>
      </c>
      <c r="J611" s="1" t="str">
        <f t="shared" si="29"/>
        <v>Nill</v>
      </c>
      <c r="K611" s="1" t="s">
        <v>138</v>
      </c>
      <c r="L611" s="1" t="s">
        <v>198</v>
      </c>
      <c r="M611" s="1" t="s">
        <v>41</v>
      </c>
      <c r="N611"/>
    </row>
    <row r="612" spans="1:14" x14ac:dyDescent="0.25">
      <c r="A612" s="1" t="s">
        <v>478</v>
      </c>
      <c r="B612" s="1" t="s">
        <v>399</v>
      </c>
      <c r="C612" s="5">
        <v>45344</v>
      </c>
      <c r="D612" s="6">
        <f t="shared" si="27"/>
        <v>45344</v>
      </c>
      <c r="E612" s="1" t="s">
        <v>11</v>
      </c>
      <c r="F612" s="1" t="s">
        <v>249</v>
      </c>
      <c r="G612" s="1">
        <v>5790</v>
      </c>
      <c r="H612" s="1" cm="1">
        <f t="array" ref="H612">IF(TRIM(G612)="",
   MEDIAN(IFERROR(--SUBSTITUTE(SUBSTITUTE(SUBSTITUTE(SUBSTITUTE(SUBSTITUTE(SUBSTITUTE(G$2:G$747,"Rs.",""),"INR",""),"₹",""),"â‚¹",""),"$","")," ",""),"")),
   IFERROR(--SUBSTITUTE(SUBSTITUTE(SUBSTITUTE(SUBSTITUTE(SUBSTITUTE(SUBSTITUTE(TRIM(G612),"Rs.",""),"INR",""),"₹",""),"â‚¹",""),"$","")," ",""),"")
)</f>
        <v>5790</v>
      </c>
      <c r="I612" s="1">
        <f t="shared" si="28"/>
        <v>5790</v>
      </c>
      <c r="J612" s="1" t="str">
        <f t="shared" si="29"/>
        <v>Nill</v>
      </c>
      <c r="K612" s="1" t="s">
        <v>1253</v>
      </c>
      <c r="L612" s="1" t="s">
        <v>167</v>
      </c>
      <c r="M612" s="1" t="s">
        <v>82</v>
      </c>
      <c r="N612"/>
    </row>
    <row r="613" spans="1:14" x14ac:dyDescent="0.25">
      <c r="A613" s="1" t="s">
        <v>242</v>
      </c>
      <c r="B613" s="1" t="s">
        <v>243</v>
      </c>
      <c r="C613" s="5">
        <v>45425</v>
      </c>
      <c r="D613" s="6">
        <f t="shared" si="27"/>
        <v>45425</v>
      </c>
      <c r="E613" s="1" t="s">
        <v>11</v>
      </c>
      <c r="F613" s="1" t="s">
        <v>465</v>
      </c>
      <c r="G613" s="1">
        <v>2721</v>
      </c>
      <c r="H613" s="1" cm="1">
        <f t="array" ref="H613">IF(TRIM(G613)="",
   MEDIAN(IFERROR(--SUBSTITUTE(SUBSTITUTE(SUBSTITUTE(SUBSTITUTE(SUBSTITUTE(SUBSTITUTE(G$2:G$747,"Rs.",""),"INR",""),"₹",""),"â‚¹",""),"$","")," ",""),"")),
   IFERROR(--SUBSTITUTE(SUBSTITUTE(SUBSTITUTE(SUBSTITUTE(SUBSTITUTE(SUBSTITUTE(TRIM(G613),"Rs.",""),"INR",""),"₹",""),"â‚¹",""),"$","")," ",""),"")
)</f>
        <v>2721</v>
      </c>
      <c r="I613" s="1">
        <f t="shared" si="28"/>
        <v>2721</v>
      </c>
      <c r="J613" s="1" t="str">
        <f t="shared" si="29"/>
        <v>Nill</v>
      </c>
      <c r="K613" s="1" t="s">
        <v>172</v>
      </c>
      <c r="L613" s="1" t="s">
        <v>81</v>
      </c>
      <c r="M613" s="1" t="s">
        <v>190</v>
      </c>
      <c r="N613"/>
    </row>
    <row r="614" spans="1:14" x14ac:dyDescent="0.25">
      <c r="A614" s="1" t="s">
        <v>845</v>
      </c>
      <c r="B614" s="1" t="s">
        <v>608</v>
      </c>
      <c r="C614" s="5">
        <v>45281</v>
      </c>
      <c r="D614" s="6">
        <f t="shared" si="27"/>
        <v>45281</v>
      </c>
      <c r="E614" s="1" t="s">
        <v>11</v>
      </c>
      <c r="F614" s="1" t="s">
        <v>69</v>
      </c>
      <c r="G614" s="1">
        <v>7874</v>
      </c>
      <c r="H614" s="1" cm="1">
        <f t="array" ref="H614">IF(TRIM(G614)="",
   MEDIAN(IFERROR(--SUBSTITUTE(SUBSTITUTE(SUBSTITUTE(SUBSTITUTE(SUBSTITUTE(SUBSTITUTE(G$2:G$747,"Rs.",""),"INR",""),"₹",""),"â‚¹",""),"$","")," ",""),"")),
   IFERROR(--SUBSTITUTE(SUBSTITUTE(SUBSTITUTE(SUBSTITUTE(SUBSTITUTE(SUBSTITUTE(TRIM(G614),"Rs.",""),"INR",""),"₹",""),"â‚¹",""),"$","")," ",""),"")
)</f>
        <v>7874</v>
      </c>
      <c r="I614" s="1">
        <f t="shared" si="28"/>
        <v>7874</v>
      </c>
      <c r="J614" s="1" t="str">
        <f t="shared" si="29"/>
        <v>Nill</v>
      </c>
      <c r="K614" s="1" t="s">
        <v>25</v>
      </c>
      <c r="L614" s="1" t="s">
        <v>167</v>
      </c>
      <c r="M614" s="1" t="s">
        <v>190</v>
      </c>
      <c r="N614"/>
    </row>
    <row r="615" spans="1:14" x14ac:dyDescent="0.25">
      <c r="A615" s="1" t="s">
        <v>728</v>
      </c>
      <c r="B615" s="1" t="s">
        <v>74</v>
      </c>
      <c r="C615" s="1" t="s">
        <v>729</v>
      </c>
      <c r="D615" s="6">
        <f t="shared" si="27"/>
        <v>45499</v>
      </c>
      <c r="E615" s="1" t="s">
        <v>11</v>
      </c>
      <c r="F615" s="1" t="s">
        <v>104</v>
      </c>
      <c r="G615" s="1">
        <v>3640</v>
      </c>
      <c r="H615" s="1" cm="1">
        <f t="array" ref="H615">IF(TRIM(G615)="",
   MEDIAN(IFERROR(--SUBSTITUTE(SUBSTITUTE(SUBSTITUTE(SUBSTITUTE(SUBSTITUTE(SUBSTITUTE(G$2:G$747,"Rs.",""),"INR",""),"₹",""),"â‚¹",""),"$","")," ",""),"")),
   IFERROR(--SUBSTITUTE(SUBSTITUTE(SUBSTITUTE(SUBSTITUTE(SUBSTITUTE(SUBSTITUTE(TRIM(G615),"Rs.",""),"INR",""),"₹",""),"â‚¹",""),"$","")," ",""),"")
)</f>
        <v>3640</v>
      </c>
      <c r="I615" s="1">
        <f t="shared" si="28"/>
        <v>3640</v>
      </c>
      <c r="J615" s="1" t="str">
        <f t="shared" si="29"/>
        <v>Nill</v>
      </c>
      <c r="K615" s="1" t="s">
        <v>53</v>
      </c>
      <c r="L615" s="1" t="s">
        <v>127</v>
      </c>
      <c r="M615" s="1" t="s">
        <v>190</v>
      </c>
      <c r="N615"/>
    </row>
    <row r="616" spans="1:14" x14ac:dyDescent="0.25">
      <c r="A616" s="1" t="s">
        <v>1061</v>
      </c>
      <c r="B616" s="1" t="s">
        <v>885</v>
      </c>
      <c r="C616" s="5">
        <v>44623</v>
      </c>
      <c r="D616" s="6">
        <f t="shared" si="27"/>
        <v>44623</v>
      </c>
      <c r="E616" s="1" t="s">
        <v>11</v>
      </c>
      <c r="F616" s="1" t="s">
        <v>69</v>
      </c>
      <c r="G616" s="1">
        <v>1443</v>
      </c>
      <c r="H616" s="1" cm="1">
        <f t="array" ref="H616">IF(TRIM(G616)="",
   MEDIAN(IFERROR(--SUBSTITUTE(SUBSTITUTE(SUBSTITUTE(SUBSTITUTE(SUBSTITUTE(SUBSTITUTE(G$2:G$747,"Rs.",""),"INR",""),"₹",""),"â‚¹",""),"$","")," ",""),"")),
   IFERROR(--SUBSTITUTE(SUBSTITUTE(SUBSTITUTE(SUBSTITUTE(SUBSTITUTE(SUBSTITUTE(TRIM(G616),"Rs.",""),"INR",""),"₹",""),"â‚¹",""),"$","")," ",""),"")
)</f>
        <v>1443</v>
      </c>
      <c r="I616" s="1">
        <f t="shared" si="28"/>
        <v>1443</v>
      </c>
      <c r="J616" s="1" t="str">
        <f t="shared" si="29"/>
        <v>Nill</v>
      </c>
      <c r="K616" s="1" t="s">
        <v>31</v>
      </c>
      <c r="L616" s="1" t="s">
        <v>217</v>
      </c>
      <c r="M616" s="1" t="s">
        <v>117</v>
      </c>
      <c r="N616"/>
    </row>
    <row r="617" spans="1:14" x14ac:dyDescent="0.25">
      <c r="A617" s="1" t="s">
        <v>874</v>
      </c>
      <c r="B617" s="1" t="s">
        <v>238</v>
      </c>
      <c r="C617" s="1" t="s">
        <v>875</v>
      </c>
      <c r="D617" s="6">
        <f t="shared" si="27"/>
        <v>45410</v>
      </c>
      <c r="E617" s="1" t="s">
        <v>11</v>
      </c>
      <c r="F617" s="1" t="s">
        <v>69</v>
      </c>
      <c r="G617" s="1">
        <v>1453</v>
      </c>
      <c r="H617" s="1" cm="1">
        <f t="array" ref="H617">IF(TRIM(G617)="",
   MEDIAN(IFERROR(--SUBSTITUTE(SUBSTITUTE(SUBSTITUTE(SUBSTITUTE(SUBSTITUTE(SUBSTITUTE(G$2:G$747,"Rs.",""),"INR",""),"₹",""),"â‚¹",""),"$","")," ",""),"")),
   IFERROR(--SUBSTITUTE(SUBSTITUTE(SUBSTITUTE(SUBSTITUTE(SUBSTITUTE(SUBSTITUTE(TRIM(G617),"Rs.",""),"INR",""),"₹",""),"â‚¹",""),"$","")," ",""),"")
)</f>
        <v>1453</v>
      </c>
      <c r="I617" s="1">
        <f t="shared" si="28"/>
        <v>1453</v>
      </c>
      <c r="J617" s="1" t="str">
        <f t="shared" si="29"/>
        <v>Nill</v>
      </c>
      <c r="K617" s="1" t="s">
        <v>12</v>
      </c>
      <c r="L617" s="1" t="s">
        <v>40</v>
      </c>
      <c r="M617" s="1" t="s">
        <v>133</v>
      </c>
      <c r="N617"/>
    </row>
    <row r="618" spans="1:14" x14ac:dyDescent="0.25">
      <c r="A618" s="1" t="s">
        <v>822</v>
      </c>
      <c r="B618" s="1" t="s">
        <v>334</v>
      </c>
      <c r="C618" s="5">
        <v>44447</v>
      </c>
      <c r="D618" s="6">
        <f t="shared" si="27"/>
        <v>44447</v>
      </c>
      <c r="E618" s="1" t="s">
        <v>11</v>
      </c>
      <c r="F618" s="1" t="s">
        <v>158</v>
      </c>
      <c r="G618" s="1">
        <v>8716</v>
      </c>
      <c r="H618" s="1" cm="1">
        <f t="array" ref="H618">IF(TRIM(G618)="",
   MEDIAN(IFERROR(--SUBSTITUTE(SUBSTITUTE(SUBSTITUTE(SUBSTITUTE(SUBSTITUTE(SUBSTITUTE(G$2:G$747,"Rs.",""),"INR",""),"₹",""),"â‚¹",""),"$","")," ",""),"")),
   IFERROR(--SUBSTITUTE(SUBSTITUTE(SUBSTITUTE(SUBSTITUTE(SUBSTITUTE(SUBSTITUTE(TRIM(G618),"Rs.",""),"INR",""),"₹",""),"â‚¹",""),"$","")," ",""),"")
)</f>
        <v>8716</v>
      </c>
      <c r="I618" s="1">
        <f t="shared" si="28"/>
        <v>8716</v>
      </c>
      <c r="J618" s="1" t="str">
        <f t="shared" si="29"/>
        <v>Nill</v>
      </c>
      <c r="K618" s="1" t="s">
        <v>25</v>
      </c>
      <c r="L618" s="1" t="s">
        <v>167</v>
      </c>
      <c r="M618" s="1" t="s">
        <v>22</v>
      </c>
      <c r="N618"/>
    </row>
    <row r="619" spans="1:14" x14ac:dyDescent="0.25">
      <c r="A619" s="1" t="s">
        <v>18</v>
      </c>
      <c r="B619" s="1" t="s">
        <v>19</v>
      </c>
      <c r="C619" s="5">
        <v>45291</v>
      </c>
      <c r="D619" s="6">
        <f t="shared" si="27"/>
        <v>45291</v>
      </c>
      <c r="E619" s="1" t="s">
        <v>20</v>
      </c>
      <c r="F619" s="1" t="s">
        <v>21</v>
      </c>
      <c r="G619" s="1">
        <v>13239</v>
      </c>
      <c r="H619" s="1" cm="1">
        <f t="array" ref="H619">IF(TRIM(G619)="",
   MEDIAN(IFERROR(--SUBSTITUTE(SUBSTITUTE(SUBSTITUTE(SUBSTITUTE(SUBSTITUTE(SUBSTITUTE(G$2:G$747,"Rs.",""),"INR",""),"₹",""),"â‚¹",""),"$","")," ",""),"")),
   IFERROR(--SUBSTITUTE(SUBSTITUTE(SUBSTITUTE(SUBSTITUTE(SUBSTITUTE(SUBSTITUTE(TRIM(G619),"Rs.",""),"INR",""),"₹",""),"â‚¹",""),"$","")," ",""),"")
)</f>
        <v>13239</v>
      </c>
      <c r="I619" s="1" t="str">
        <f t="shared" si="28"/>
        <v>Nill</v>
      </c>
      <c r="J619" s="1">
        <f t="shared" si="29"/>
        <v>13239</v>
      </c>
      <c r="K619" s="1" t="s">
        <v>138</v>
      </c>
      <c r="L619" s="1" t="s">
        <v>81</v>
      </c>
      <c r="M619" s="1" t="s">
        <v>22</v>
      </c>
      <c r="N619"/>
    </row>
    <row r="620" spans="1:14" x14ac:dyDescent="0.25">
      <c r="A620" s="1" t="s">
        <v>1107</v>
      </c>
      <c r="B620" s="1" t="s">
        <v>251</v>
      </c>
      <c r="C620" s="1" t="s">
        <v>1108</v>
      </c>
      <c r="D620" s="6">
        <f t="shared" si="27"/>
        <v>45122</v>
      </c>
      <c r="E620" s="1" t="s">
        <v>20</v>
      </c>
      <c r="F620" s="1" t="s">
        <v>21</v>
      </c>
      <c r="G620" s="1">
        <v>61209</v>
      </c>
      <c r="H620" s="1" cm="1">
        <f t="array" ref="H620">IF(TRIM(G620)="",
   MEDIAN(IFERROR(--SUBSTITUTE(SUBSTITUTE(SUBSTITUTE(SUBSTITUTE(SUBSTITUTE(SUBSTITUTE(G$2:G$747,"Rs.",""),"INR",""),"₹",""),"â‚¹",""),"$","")," ",""),"")),
   IFERROR(--SUBSTITUTE(SUBSTITUTE(SUBSTITUTE(SUBSTITUTE(SUBSTITUTE(SUBSTITUTE(TRIM(G620),"Rs.",""),"INR",""),"₹",""),"â‚¹",""),"$","")," ",""),"")
)</f>
        <v>61209</v>
      </c>
      <c r="I620" s="1" t="str">
        <f t="shared" si="28"/>
        <v>Nill</v>
      </c>
      <c r="J620" s="1">
        <f t="shared" si="29"/>
        <v>61209</v>
      </c>
      <c r="K620" s="1" t="s">
        <v>1253</v>
      </c>
      <c r="L620" s="1" t="s">
        <v>299</v>
      </c>
      <c r="M620" s="1" t="s">
        <v>1253</v>
      </c>
      <c r="N620"/>
    </row>
    <row r="621" spans="1:14" x14ac:dyDescent="0.25">
      <c r="A621" s="1" t="s">
        <v>27</v>
      </c>
      <c r="B621" s="1" t="s">
        <v>28</v>
      </c>
      <c r="C621" s="1" t="s">
        <v>29</v>
      </c>
      <c r="D621" s="6">
        <f t="shared" si="27"/>
        <v>44862</v>
      </c>
      <c r="E621" s="1" t="s">
        <v>11</v>
      </c>
      <c r="F621" s="1" t="s">
        <v>30</v>
      </c>
      <c r="G621" s="1">
        <v>2287</v>
      </c>
      <c r="H621" s="1" cm="1">
        <f t="array" ref="H621">IF(TRIM(G621)="",
   MEDIAN(IFERROR(--SUBSTITUTE(SUBSTITUTE(SUBSTITUTE(SUBSTITUTE(SUBSTITUTE(SUBSTITUTE(G$2:G$747,"Rs.",""),"INR",""),"₹",""),"â‚¹",""),"$","")," ",""),"")),
   IFERROR(--SUBSTITUTE(SUBSTITUTE(SUBSTITUTE(SUBSTITUTE(SUBSTITUTE(SUBSTITUTE(TRIM(G621),"Rs.",""),"INR",""),"₹",""),"â‚¹",""),"$","")," ",""),"")
)</f>
        <v>2287</v>
      </c>
      <c r="I621" s="1">
        <f t="shared" si="28"/>
        <v>2287</v>
      </c>
      <c r="J621" s="1" t="str">
        <f t="shared" si="29"/>
        <v>Nill</v>
      </c>
      <c r="K621" s="1" t="s">
        <v>31</v>
      </c>
      <c r="L621" s="1" t="s">
        <v>17</v>
      </c>
      <c r="M621" s="1" t="s">
        <v>1253</v>
      </c>
      <c r="N621"/>
    </row>
    <row r="622" spans="1:14" x14ac:dyDescent="0.25">
      <c r="A622" s="1" t="s">
        <v>638</v>
      </c>
      <c r="B622" s="1" t="s">
        <v>421</v>
      </c>
      <c r="C622" s="5">
        <v>44531</v>
      </c>
      <c r="D622" s="6">
        <f t="shared" si="27"/>
        <v>44531</v>
      </c>
      <c r="E622" s="1" t="s">
        <v>11</v>
      </c>
      <c r="F622" s="1" t="s">
        <v>69</v>
      </c>
      <c r="G622" s="1">
        <v>4005</v>
      </c>
      <c r="H622" s="1" cm="1">
        <f t="array" ref="H622">IF(TRIM(G622)="",
   MEDIAN(IFERROR(--SUBSTITUTE(SUBSTITUTE(SUBSTITUTE(SUBSTITUTE(SUBSTITUTE(SUBSTITUTE(G$2:G$747,"Rs.",""),"INR",""),"₹",""),"â‚¹",""),"$","")," ",""),"")),
   IFERROR(--SUBSTITUTE(SUBSTITUTE(SUBSTITUTE(SUBSTITUTE(SUBSTITUTE(SUBSTITUTE(TRIM(G622),"Rs.",""),"INR",""),"₹",""),"â‚¹",""),"$","")," ",""),"")
)</f>
        <v>4005</v>
      </c>
      <c r="I622" s="1">
        <f t="shared" si="28"/>
        <v>4005</v>
      </c>
      <c r="J622" s="1" t="str">
        <f t="shared" si="29"/>
        <v>Nill</v>
      </c>
      <c r="K622" s="1" t="s">
        <v>204</v>
      </c>
      <c r="L622" s="1" t="s">
        <v>217</v>
      </c>
      <c r="M622" s="1" t="s">
        <v>241</v>
      </c>
      <c r="N622"/>
    </row>
    <row r="623" spans="1:14" x14ac:dyDescent="0.25">
      <c r="A623" s="1" t="s">
        <v>105</v>
      </c>
      <c r="B623" s="1" t="s">
        <v>99</v>
      </c>
      <c r="C623" s="5">
        <v>44585</v>
      </c>
      <c r="D623" s="6">
        <f t="shared" si="27"/>
        <v>44585</v>
      </c>
      <c r="E623" s="1" t="s">
        <v>11</v>
      </c>
      <c r="F623" s="1" t="s">
        <v>85</v>
      </c>
      <c r="G623" s="1">
        <v>4286</v>
      </c>
      <c r="H623" s="1" cm="1">
        <f t="array" ref="H623">IF(TRIM(G623)="",
   MEDIAN(IFERROR(--SUBSTITUTE(SUBSTITUTE(SUBSTITUTE(SUBSTITUTE(SUBSTITUTE(SUBSTITUTE(G$2:G$747,"Rs.",""),"INR",""),"₹",""),"â‚¹",""),"$","")," ",""),"")),
   IFERROR(--SUBSTITUTE(SUBSTITUTE(SUBSTITUTE(SUBSTITUTE(SUBSTITUTE(SUBSTITUTE(TRIM(G623),"Rs.",""),"INR",""),"₹",""),"â‚¹",""),"$","")," ",""),"")
)</f>
        <v>4286</v>
      </c>
      <c r="I623" s="1">
        <f t="shared" si="28"/>
        <v>4286</v>
      </c>
      <c r="J623" s="1" t="str">
        <f t="shared" si="29"/>
        <v>Nill</v>
      </c>
      <c r="K623" s="1" t="s">
        <v>25</v>
      </c>
      <c r="L623" s="1" t="s">
        <v>17</v>
      </c>
      <c r="M623" s="1" t="s">
        <v>1253</v>
      </c>
      <c r="N623"/>
    </row>
    <row r="624" spans="1:14" x14ac:dyDescent="0.25">
      <c r="A624" s="1" t="s">
        <v>711</v>
      </c>
      <c r="B624" s="1" t="s">
        <v>419</v>
      </c>
      <c r="C624" s="5">
        <v>45371</v>
      </c>
      <c r="D624" s="6">
        <f t="shared" si="27"/>
        <v>45371</v>
      </c>
      <c r="E624" s="1" t="s">
        <v>11</v>
      </c>
      <c r="F624" s="1" t="s">
        <v>30</v>
      </c>
      <c r="G624" s="1">
        <v>2561</v>
      </c>
      <c r="H624" s="1" cm="1">
        <f t="array" ref="H624">IF(TRIM(G624)="",
   MEDIAN(IFERROR(--SUBSTITUTE(SUBSTITUTE(SUBSTITUTE(SUBSTITUTE(SUBSTITUTE(SUBSTITUTE(G$2:G$747,"Rs.",""),"INR",""),"₹",""),"â‚¹",""),"$","")," ",""),"")),
   IFERROR(--SUBSTITUTE(SUBSTITUTE(SUBSTITUTE(SUBSTITUTE(SUBSTITUTE(SUBSTITUTE(TRIM(G624),"Rs.",""),"INR",""),"₹",""),"â‚¹",""),"$","")," ",""),"")
)</f>
        <v>2561</v>
      </c>
      <c r="I624" s="1">
        <f t="shared" si="28"/>
        <v>2561</v>
      </c>
      <c r="J624" s="1" t="str">
        <f t="shared" si="29"/>
        <v>Nill</v>
      </c>
      <c r="K624" s="1" t="s">
        <v>25</v>
      </c>
      <c r="L624" s="1" t="s">
        <v>1252</v>
      </c>
      <c r="M624" s="1" t="s">
        <v>82</v>
      </c>
      <c r="N624"/>
    </row>
    <row r="625" spans="1:14" x14ac:dyDescent="0.25">
      <c r="A625" s="1" t="s">
        <v>1045</v>
      </c>
      <c r="B625" s="1" t="s">
        <v>608</v>
      </c>
      <c r="D625" s="6" t="str">
        <f t="shared" si="27"/>
        <v>unknown</v>
      </c>
      <c r="E625" s="1" t="s">
        <v>20</v>
      </c>
      <c r="F625" s="1" t="s">
        <v>239</v>
      </c>
      <c r="G625" s="1">
        <v>14412</v>
      </c>
      <c r="H625" s="1" cm="1">
        <f t="array" ref="H625">IF(TRIM(G625)="",
   MEDIAN(IFERROR(--SUBSTITUTE(SUBSTITUTE(SUBSTITUTE(SUBSTITUTE(SUBSTITUTE(SUBSTITUTE(G$2:G$747,"Rs.",""),"INR",""),"₹",""),"â‚¹",""),"$","")," ",""),"")),
   IFERROR(--SUBSTITUTE(SUBSTITUTE(SUBSTITUTE(SUBSTITUTE(SUBSTITUTE(SUBSTITUTE(TRIM(G625),"Rs.",""),"INR",""),"₹",""),"â‚¹",""),"$","")," ",""),"")
)</f>
        <v>14412</v>
      </c>
      <c r="I625" s="1" t="str">
        <f t="shared" si="28"/>
        <v>Nill</v>
      </c>
      <c r="J625" s="1">
        <f t="shared" si="29"/>
        <v>14412</v>
      </c>
      <c r="K625" s="1" t="s">
        <v>204</v>
      </c>
      <c r="L625" s="1" t="s">
        <v>17</v>
      </c>
      <c r="M625" s="1" t="s">
        <v>255</v>
      </c>
      <c r="N625"/>
    </row>
    <row r="626" spans="1:14" x14ac:dyDescent="0.25">
      <c r="A626" s="1" t="s">
        <v>919</v>
      </c>
      <c r="B626" s="1" t="s">
        <v>509</v>
      </c>
      <c r="C626" s="5">
        <v>44574</v>
      </c>
      <c r="D626" s="6">
        <f t="shared" si="27"/>
        <v>44574</v>
      </c>
      <c r="E626" s="1" t="s">
        <v>11</v>
      </c>
      <c r="F626" s="1" t="s">
        <v>249</v>
      </c>
      <c r="G626" s="1">
        <v>4958</v>
      </c>
      <c r="H626" s="1" cm="1">
        <f t="array" ref="H626">IF(TRIM(G626)="",
   MEDIAN(IFERROR(--SUBSTITUTE(SUBSTITUTE(SUBSTITUTE(SUBSTITUTE(SUBSTITUTE(SUBSTITUTE(G$2:G$747,"Rs.",""),"INR",""),"₹",""),"â‚¹",""),"$","")," ",""),"")),
   IFERROR(--SUBSTITUTE(SUBSTITUTE(SUBSTITUTE(SUBSTITUTE(SUBSTITUTE(SUBSTITUTE(TRIM(G626),"Rs.",""),"INR",""),"₹",""),"â‚¹",""),"$","")," ",""),"")
)</f>
        <v>4958</v>
      </c>
      <c r="I626" s="1">
        <f t="shared" si="28"/>
        <v>4958</v>
      </c>
      <c r="J626" s="1" t="str">
        <f t="shared" si="29"/>
        <v>Nill</v>
      </c>
      <c r="K626" s="1" t="s">
        <v>25</v>
      </c>
      <c r="L626" s="1" t="s">
        <v>167</v>
      </c>
      <c r="M626" s="1" t="s">
        <v>1253</v>
      </c>
      <c r="N626"/>
    </row>
    <row r="627" spans="1:14" x14ac:dyDescent="0.25">
      <c r="A627" s="1" t="s">
        <v>1183</v>
      </c>
      <c r="B627" s="1" t="s">
        <v>84</v>
      </c>
      <c r="D627" s="6" t="str">
        <f t="shared" si="27"/>
        <v>unknown</v>
      </c>
      <c r="E627" s="1" t="s">
        <v>20</v>
      </c>
      <c r="F627" s="1" t="s">
        <v>239</v>
      </c>
      <c r="G627" s="1">
        <v>16944</v>
      </c>
      <c r="H627" s="1" cm="1">
        <f t="array" ref="H627">IF(TRIM(G627)="",
   MEDIAN(IFERROR(--SUBSTITUTE(SUBSTITUTE(SUBSTITUTE(SUBSTITUTE(SUBSTITUTE(SUBSTITUTE(G$2:G$747,"Rs.",""),"INR",""),"₹",""),"â‚¹",""),"$","")," ",""),"")),
   IFERROR(--SUBSTITUTE(SUBSTITUTE(SUBSTITUTE(SUBSTITUTE(SUBSTITUTE(SUBSTITUTE(TRIM(G627),"Rs.",""),"INR",""),"₹",""),"â‚¹",""),"$","")," ",""),"")
)</f>
        <v>16944</v>
      </c>
      <c r="I627" s="1" t="str">
        <f t="shared" si="28"/>
        <v>Nill</v>
      </c>
      <c r="J627" s="1">
        <f t="shared" si="29"/>
        <v>16944</v>
      </c>
      <c r="K627" s="1" t="s">
        <v>12</v>
      </c>
      <c r="L627" s="1" t="s">
        <v>81</v>
      </c>
      <c r="M627" s="1" t="s">
        <v>35</v>
      </c>
      <c r="N627"/>
    </row>
    <row r="628" spans="1:14" x14ac:dyDescent="0.25">
      <c r="A628" s="1" t="s">
        <v>900</v>
      </c>
      <c r="B628" s="1" t="s">
        <v>92</v>
      </c>
      <c r="C628" s="5">
        <v>44677</v>
      </c>
      <c r="D628" s="6">
        <f t="shared" si="27"/>
        <v>44677</v>
      </c>
      <c r="E628" s="1" t="s">
        <v>11</v>
      </c>
      <c r="F628" s="1" t="s">
        <v>69</v>
      </c>
      <c r="G628" s="1">
        <v>3901</v>
      </c>
      <c r="H628" s="1" cm="1">
        <f t="array" ref="H628">IF(TRIM(G628)="",
   MEDIAN(IFERROR(--SUBSTITUTE(SUBSTITUTE(SUBSTITUTE(SUBSTITUTE(SUBSTITUTE(SUBSTITUTE(G$2:G$747,"Rs.",""),"INR",""),"₹",""),"â‚¹",""),"$","")," ",""),"")),
   IFERROR(--SUBSTITUTE(SUBSTITUTE(SUBSTITUTE(SUBSTITUTE(SUBSTITUTE(SUBSTITUTE(TRIM(G628),"Rs.",""),"INR",""),"₹",""),"â‚¹",""),"$","")," ",""),"")
)</f>
        <v>3901</v>
      </c>
      <c r="I628" s="1">
        <f t="shared" si="28"/>
        <v>3901</v>
      </c>
      <c r="J628" s="1" t="str">
        <f t="shared" si="29"/>
        <v>Nill</v>
      </c>
      <c r="K628" s="1" t="s">
        <v>25</v>
      </c>
      <c r="L628" s="1" t="s">
        <v>40</v>
      </c>
      <c r="M628" s="1" t="s">
        <v>241</v>
      </c>
      <c r="N628"/>
    </row>
    <row r="629" spans="1:14" x14ac:dyDescent="0.25">
      <c r="A629" s="1" t="s">
        <v>1031</v>
      </c>
      <c r="B629" s="1" t="s">
        <v>326</v>
      </c>
      <c r="C629" s="5">
        <v>45206</v>
      </c>
      <c r="D629" s="6">
        <f t="shared" si="27"/>
        <v>45206</v>
      </c>
      <c r="E629" s="1" t="s">
        <v>11</v>
      </c>
      <c r="F629" s="1" t="s">
        <v>104</v>
      </c>
      <c r="H629" s="1" cm="1">
        <f t="array" ref="H629">IF(TRIM(G629)="",
   MEDIAN(IFERROR(--SUBSTITUTE(SUBSTITUTE(SUBSTITUTE(SUBSTITUTE(SUBSTITUTE(SUBSTITUTE(G$2:G$747,"Rs.",""),"INR",""),"₹",""),"â‚¹",""),"$","")," ",""),"")),
   IFERROR(--SUBSTITUTE(SUBSTITUTE(SUBSTITUTE(SUBSTITUTE(SUBSTITUTE(SUBSTITUTE(TRIM(G629),"Rs.",""),"INR",""),"₹",""),"â‚¹",""),"$","")," ",""),"")
)</f>
        <v>5935</v>
      </c>
      <c r="I629" s="1">
        <f t="shared" si="28"/>
        <v>5935</v>
      </c>
      <c r="J629" s="1" t="str">
        <f t="shared" si="29"/>
        <v>Nill</v>
      </c>
      <c r="K629" s="1" t="s">
        <v>110</v>
      </c>
      <c r="L629" s="1" t="s">
        <v>299</v>
      </c>
      <c r="M629" s="1" t="s">
        <v>255</v>
      </c>
      <c r="N629"/>
    </row>
    <row r="630" spans="1:14" x14ac:dyDescent="0.25">
      <c r="A630" s="1" t="s">
        <v>1149</v>
      </c>
      <c r="B630" s="1" t="s">
        <v>243</v>
      </c>
      <c r="C630" s="1" t="s">
        <v>1150</v>
      </c>
      <c r="D630" s="6">
        <f t="shared" si="27"/>
        <v>45623</v>
      </c>
      <c r="E630" s="1" t="s">
        <v>11</v>
      </c>
      <c r="F630" s="1" t="s">
        <v>85</v>
      </c>
      <c r="G630" s="1">
        <v>7815</v>
      </c>
      <c r="H630" s="1" cm="1">
        <f t="array" ref="H630">IF(TRIM(G630)="",
   MEDIAN(IFERROR(--SUBSTITUTE(SUBSTITUTE(SUBSTITUTE(SUBSTITUTE(SUBSTITUTE(SUBSTITUTE(G$2:G$747,"Rs.",""),"INR",""),"₹",""),"â‚¹",""),"$","")," ",""),"")),
   IFERROR(--SUBSTITUTE(SUBSTITUTE(SUBSTITUTE(SUBSTITUTE(SUBSTITUTE(SUBSTITUTE(TRIM(G630),"Rs.",""),"INR",""),"₹",""),"â‚¹",""),"$","")," ",""),"")
)</f>
        <v>7815</v>
      </c>
      <c r="I630" s="1">
        <f t="shared" si="28"/>
        <v>7815</v>
      </c>
      <c r="J630" s="1" t="str">
        <f t="shared" si="29"/>
        <v>Nill</v>
      </c>
      <c r="K630" s="1" t="s">
        <v>53</v>
      </c>
      <c r="L630" s="1" t="s">
        <v>1252</v>
      </c>
      <c r="M630" s="1" t="s">
        <v>1253</v>
      </c>
      <c r="N630"/>
    </row>
    <row r="631" spans="1:14" x14ac:dyDescent="0.25">
      <c r="A631" s="1" t="s">
        <v>1051</v>
      </c>
      <c r="B631" s="1" t="s">
        <v>150</v>
      </c>
      <c r="C631" s="5">
        <v>45142</v>
      </c>
      <c r="D631" s="6">
        <f t="shared" si="27"/>
        <v>45142</v>
      </c>
      <c r="E631" s="1" t="s">
        <v>11</v>
      </c>
      <c r="F631" s="1" t="s">
        <v>69</v>
      </c>
      <c r="G631" s="1">
        <v>9155</v>
      </c>
      <c r="H631" s="1" cm="1">
        <f t="array" ref="H631">IF(TRIM(G631)="",
   MEDIAN(IFERROR(--SUBSTITUTE(SUBSTITUTE(SUBSTITUTE(SUBSTITUTE(SUBSTITUTE(SUBSTITUTE(G$2:G$747,"Rs.",""),"INR",""),"₹",""),"â‚¹",""),"$","")," ",""),"")),
   IFERROR(--SUBSTITUTE(SUBSTITUTE(SUBSTITUTE(SUBSTITUTE(SUBSTITUTE(SUBSTITUTE(TRIM(G631),"Rs.",""),"INR",""),"₹",""),"â‚¹",""),"$","")," ",""),"")
)</f>
        <v>9155</v>
      </c>
      <c r="I631" s="1">
        <f t="shared" si="28"/>
        <v>9155</v>
      </c>
      <c r="J631" s="1" t="str">
        <f t="shared" si="29"/>
        <v>Nill</v>
      </c>
      <c r="K631" s="1" t="s">
        <v>138</v>
      </c>
      <c r="L631" s="1" t="s">
        <v>198</v>
      </c>
      <c r="M631" s="1" t="s">
        <v>190</v>
      </c>
      <c r="N631"/>
    </row>
    <row r="632" spans="1:14" x14ac:dyDescent="0.25">
      <c r="A632" s="1" t="s">
        <v>501</v>
      </c>
      <c r="B632" s="1" t="s">
        <v>293</v>
      </c>
      <c r="C632" s="5">
        <v>45415</v>
      </c>
      <c r="D632" s="6">
        <f t="shared" si="27"/>
        <v>45415</v>
      </c>
      <c r="E632" s="1" t="s">
        <v>11</v>
      </c>
      <c r="F632" s="1" t="s">
        <v>158</v>
      </c>
      <c r="G632" s="1" t="s">
        <v>502</v>
      </c>
      <c r="H632" s="1" cm="1">
        <f t="array" ref="H632">IF(TRIM(G632)="",
   MEDIAN(IFERROR(--SUBSTITUTE(SUBSTITUTE(SUBSTITUTE(SUBSTITUTE(SUBSTITUTE(SUBSTITUTE(G$2:G$747,"Rs.",""),"INR",""),"₹",""),"â‚¹",""),"$","")," ",""),"")),
   IFERROR(--SUBSTITUTE(SUBSTITUTE(SUBSTITUTE(SUBSTITUTE(SUBSTITUTE(SUBSTITUTE(TRIM(G632),"Rs.",""),"INR",""),"₹",""),"â‚¹",""),"$","")," ",""),"")
)</f>
        <v>2274</v>
      </c>
      <c r="I632" s="1">
        <f t="shared" si="28"/>
        <v>2274</v>
      </c>
      <c r="J632" s="1" t="str">
        <f t="shared" si="29"/>
        <v>Nill</v>
      </c>
      <c r="K632" s="1" t="s">
        <v>204</v>
      </c>
      <c r="L632" s="1" t="s">
        <v>17</v>
      </c>
      <c r="M632" s="1" t="s">
        <v>49</v>
      </c>
      <c r="N632"/>
    </row>
    <row r="633" spans="1:14" x14ac:dyDescent="0.25">
      <c r="A633" s="1" t="s">
        <v>264</v>
      </c>
      <c r="B633" s="1" t="s">
        <v>265</v>
      </c>
      <c r="C633" s="5">
        <v>45535</v>
      </c>
      <c r="D633" s="6">
        <f t="shared" si="27"/>
        <v>45535</v>
      </c>
      <c r="E633" s="1" t="s">
        <v>11</v>
      </c>
      <c r="F633" s="1" t="s">
        <v>30</v>
      </c>
      <c r="G633" s="1">
        <v>1004</v>
      </c>
      <c r="H633" s="1" cm="1">
        <f t="array" ref="H633">IF(TRIM(G633)="",
   MEDIAN(IFERROR(--SUBSTITUTE(SUBSTITUTE(SUBSTITUTE(SUBSTITUTE(SUBSTITUTE(SUBSTITUTE(G$2:G$747,"Rs.",""),"INR",""),"₹",""),"â‚¹",""),"$","")," ",""),"")),
   IFERROR(--SUBSTITUTE(SUBSTITUTE(SUBSTITUTE(SUBSTITUTE(SUBSTITUTE(SUBSTITUTE(TRIM(G633),"Rs.",""),"INR",""),"₹",""),"â‚¹",""),"$","")," ",""),"")
)</f>
        <v>1004</v>
      </c>
      <c r="I633" s="1">
        <f t="shared" si="28"/>
        <v>1004</v>
      </c>
      <c r="J633" s="1" t="str">
        <f t="shared" si="29"/>
        <v>Nill</v>
      </c>
      <c r="K633" s="1" t="s">
        <v>25</v>
      </c>
      <c r="L633" s="1" t="s">
        <v>217</v>
      </c>
      <c r="M633" s="1" t="s">
        <v>1253</v>
      </c>
      <c r="N633"/>
    </row>
    <row r="634" spans="1:14" x14ac:dyDescent="0.25">
      <c r="A634" s="1" t="s">
        <v>1090</v>
      </c>
      <c r="B634" s="1" t="s">
        <v>259</v>
      </c>
      <c r="C634" s="1" t="s">
        <v>1091</v>
      </c>
      <c r="D634" s="6">
        <f t="shared" si="27"/>
        <v>44705</v>
      </c>
      <c r="E634" s="1" t="s">
        <v>20</v>
      </c>
      <c r="F634" s="1" t="s">
        <v>1253</v>
      </c>
      <c r="G634" s="1">
        <v>37280</v>
      </c>
      <c r="H634" s="1" cm="1">
        <f t="array" ref="H634">IF(TRIM(G634)="",
   MEDIAN(IFERROR(--SUBSTITUTE(SUBSTITUTE(SUBSTITUTE(SUBSTITUTE(SUBSTITUTE(SUBSTITUTE(G$2:G$747,"Rs.",""),"INR",""),"₹",""),"â‚¹",""),"$","")," ",""),"")),
   IFERROR(--SUBSTITUTE(SUBSTITUTE(SUBSTITUTE(SUBSTITUTE(SUBSTITUTE(SUBSTITUTE(TRIM(G634),"Rs.",""),"INR",""),"₹",""),"â‚¹",""),"$","")," ",""),"")
)</f>
        <v>37280</v>
      </c>
      <c r="I634" s="1" t="str">
        <f t="shared" si="28"/>
        <v>Nill</v>
      </c>
      <c r="J634" s="1">
        <f t="shared" si="29"/>
        <v>37280</v>
      </c>
      <c r="K634" s="1" t="s">
        <v>48</v>
      </c>
      <c r="L634" s="1" t="s">
        <v>217</v>
      </c>
      <c r="M634" s="1" t="s">
        <v>41</v>
      </c>
      <c r="N634"/>
    </row>
    <row r="635" spans="1:14" x14ac:dyDescent="0.25">
      <c r="A635" s="1" t="s">
        <v>637</v>
      </c>
      <c r="B635" s="1" t="s">
        <v>78</v>
      </c>
      <c r="C635" s="5">
        <v>45423</v>
      </c>
      <c r="D635" s="6">
        <f t="shared" si="27"/>
        <v>45423</v>
      </c>
      <c r="E635" s="1" t="s">
        <v>11</v>
      </c>
      <c r="F635" s="1" t="s">
        <v>171</v>
      </c>
      <c r="G635" s="1">
        <v>46614</v>
      </c>
      <c r="H635" s="1" cm="1">
        <f t="array" ref="H635">IF(TRIM(G635)="",
   MEDIAN(IFERROR(--SUBSTITUTE(SUBSTITUTE(SUBSTITUTE(SUBSTITUTE(SUBSTITUTE(SUBSTITUTE(G$2:G$747,"Rs.",""),"INR",""),"₹",""),"â‚¹",""),"$","")," ",""),"")),
   IFERROR(--SUBSTITUTE(SUBSTITUTE(SUBSTITUTE(SUBSTITUTE(SUBSTITUTE(SUBSTITUTE(TRIM(G635),"Rs.",""),"INR",""),"₹",""),"â‚¹",""),"$","")," ",""),"")
)</f>
        <v>46614</v>
      </c>
      <c r="I635" s="1">
        <f t="shared" si="28"/>
        <v>46614</v>
      </c>
      <c r="J635" s="1" t="str">
        <f t="shared" si="29"/>
        <v>Nill</v>
      </c>
      <c r="K635" s="1" t="s">
        <v>25</v>
      </c>
      <c r="L635" s="1" t="s">
        <v>40</v>
      </c>
      <c r="M635" s="1" t="s">
        <v>1253</v>
      </c>
      <c r="N635"/>
    </row>
    <row r="636" spans="1:14" x14ac:dyDescent="0.25">
      <c r="A636" s="1" t="s">
        <v>1221</v>
      </c>
      <c r="B636" s="1" t="s">
        <v>236</v>
      </c>
      <c r="C636" s="5">
        <v>44832</v>
      </c>
      <c r="D636" s="6">
        <f t="shared" si="27"/>
        <v>44832</v>
      </c>
      <c r="E636" s="1" t="s">
        <v>11</v>
      </c>
      <c r="F636" s="1" t="s">
        <v>465</v>
      </c>
      <c r="G636" s="1">
        <v>7900</v>
      </c>
      <c r="H636" s="1" cm="1">
        <f t="array" ref="H636">IF(TRIM(G636)="",
   MEDIAN(IFERROR(--SUBSTITUTE(SUBSTITUTE(SUBSTITUTE(SUBSTITUTE(SUBSTITUTE(SUBSTITUTE(G$2:G$747,"Rs.",""),"INR",""),"₹",""),"â‚¹",""),"$","")," ",""),"")),
   IFERROR(--SUBSTITUTE(SUBSTITUTE(SUBSTITUTE(SUBSTITUTE(SUBSTITUTE(SUBSTITUTE(TRIM(G636),"Rs.",""),"INR",""),"₹",""),"â‚¹",""),"$","")," ",""),"")
)</f>
        <v>7900</v>
      </c>
      <c r="I636" s="1">
        <f t="shared" si="28"/>
        <v>7900</v>
      </c>
      <c r="J636" s="1" t="str">
        <f t="shared" si="29"/>
        <v>Nill</v>
      </c>
      <c r="K636" s="1" t="s">
        <v>12</v>
      </c>
      <c r="L636" s="1" t="s">
        <v>13</v>
      </c>
      <c r="M636" s="1" t="s">
        <v>210</v>
      </c>
      <c r="N636"/>
    </row>
    <row r="637" spans="1:14" x14ac:dyDescent="0.25">
      <c r="A637" s="1" t="s">
        <v>731</v>
      </c>
      <c r="B637" s="1" t="s">
        <v>283</v>
      </c>
      <c r="C637" s="5">
        <v>45208</v>
      </c>
      <c r="D637" s="6">
        <f t="shared" si="27"/>
        <v>45208</v>
      </c>
      <c r="E637" s="1" t="s">
        <v>11</v>
      </c>
      <c r="F637" s="1" t="s">
        <v>249</v>
      </c>
      <c r="G637" s="1" t="s">
        <v>732</v>
      </c>
      <c r="H637" s="1" cm="1">
        <f t="array" ref="H637">IF(TRIM(G637)="",
   MEDIAN(IFERROR(--SUBSTITUTE(SUBSTITUTE(SUBSTITUTE(SUBSTITUTE(SUBSTITUTE(SUBSTITUTE(G$2:G$747,"Rs.",""),"INR",""),"₹",""),"â‚¹",""),"$","")," ",""),"")),
   IFERROR(--SUBSTITUTE(SUBSTITUTE(SUBSTITUTE(SUBSTITUTE(SUBSTITUTE(SUBSTITUTE(TRIM(G637),"Rs.",""),"INR",""),"₹",""),"â‚¹",""),"$","")," ",""),"")
)</f>
        <v>9476</v>
      </c>
      <c r="I637" s="1">
        <f t="shared" si="28"/>
        <v>9476</v>
      </c>
      <c r="J637" s="1" t="str">
        <f t="shared" si="29"/>
        <v>Nill</v>
      </c>
      <c r="K637" s="1" t="s">
        <v>172</v>
      </c>
      <c r="L637" s="1" t="s">
        <v>81</v>
      </c>
      <c r="M637" s="1" t="s">
        <v>14</v>
      </c>
      <c r="N637"/>
    </row>
    <row r="638" spans="1:14" x14ac:dyDescent="0.25">
      <c r="A638" s="1" t="s">
        <v>925</v>
      </c>
      <c r="B638" s="1" t="s">
        <v>576</v>
      </c>
      <c r="C638" s="5">
        <v>45267</v>
      </c>
      <c r="D638" s="6">
        <f t="shared" si="27"/>
        <v>45267</v>
      </c>
      <c r="E638" s="1" t="s">
        <v>11</v>
      </c>
      <c r="F638" s="1" t="s">
        <v>171</v>
      </c>
      <c r="G638" s="1">
        <v>3192</v>
      </c>
      <c r="H638" s="1" cm="1">
        <f t="array" ref="H638">IF(TRIM(G638)="",
   MEDIAN(IFERROR(--SUBSTITUTE(SUBSTITUTE(SUBSTITUTE(SUBSTITUTE(SUBSTITUTE(SUBSTITUTE(G$2:G$747,"Rs.",""),"INR",""),"₹",""),"â‚¹",""),"$","")," ",""),"")),
   IFERROR(--SUBSTITUTE(SUBSTITUTE(SUBSTITUTE(SUBSTITUTE(SUBSTITUTE(SUBSTITUTE(TRIM(G638),"Rs.",""),"INR",""),"₹",""),"â‚¹",""),"$","")," ",""),"")
)</f>
        <v>3192</v>
      </c>
      <c r="I638" s="1">
        <f t="shared" si="28"/>
        <v>3192</v>
      </c>
      <c r="J638" s="1" t="str">
        <f t="shared" si="29"/>
        <v>Nill</v>
      </c>
      <c r="K638" s="1" t="s">
        <v>138</v>
      </c>
      <c r="L638" s="1" t="s">
        <v>217</v>
      </c>
      <c r="M638" s="1" t="s">
        <v>1253</v>
      </c>
      <c r="N638"/>
    </row>
    <row r="639" spans="1:14" x14ac:dyDescent="0.25">
      <c r="A639" s="1" t="s">
        <v>417</v>
      </c>
      <c r="B639" s="1" t="s">
        <v>362</v>
      </c>
      <c r="C639" s="5">
        <v>45653</v>
      </c>
      <c r="D639" s="6">
        <f t="shared" si="27"/>
        <v>45653</v>
      </c>
      <c r="E639" s="1" t="s">
        <v>11</v>
      </c>
      <c r="F639" s="1" t="s">
        <v>249</v>
      </c>
      <c r="G639" s="1">
        <v>6671</v>
      </c>
      <c r="H639" s="1" cm="1">
        <f t="array" ref="H639">IF(TRIM(G639)="",
   MEDIAN(IFERROR(--SUBSTITUTE(SUBSTITUTE(SUBSTITUTE(SUBSTITUTE(SUBSTITUTE(SUBSTITUTE(G$2:G$747,"Rs.",""),"INR",""),"₹",""),"â‚¹",""),"$","")," ",""),"")),
   IFERROR(--SUBSTITUTE(SUBSTITUTE(SUBSTITUTE(SUBSTITUTE(SUBSTITUTE(SUBSTITUTE(TRIM(G639),"Rs.",""),"INR",""),"₹",""),"â‚¹",""),"$","")," ",""),"")
)</f>
        <v>6671</v>
      </c>
      <c r="I639" s="1">
        <f t="shared" si="28"/>
        <v>6671</v>
      </c>
      <c r="J639" s="1" t="str">
        <f t="shared" si="29"/>
        <v>Nill</v>
      </c>
      <c r="K639" s="1" t="s">
        <v>87</v>
      </c>
      <c r="L639" s="1" t="s">
        <v>13</v>
      </c>
      <c r="M639" s="1" t="s">
        <v>88</v>
      </c>
      <c r="N639"/>
    </row>
    <row r="640" spans="1:14" x14ac:dyDescent="0.25">
      <c r="A640" s="1" t="s">
        <v>876</v>
      </c>
      <c r="B640" s="1" t="s">
        <v>283</v>
      </c>
      <c r="C640" s="5">
        <v>44251</v>
      </c>
      <c r="D640" s="6">
        <f t="shared" si="27"/>
        <v>44251</v>
      </c>
      <c r="E640" s="1" t="s">
        <v>20</v>
      </c>
      <c r="F640" s="1" t="s">
        <v>44</v>
      </c>
      <c r="G640" s="1">
        <v>69923</v>
      </c>
      <c r="H640" s="1" cm="1">
        <f t="array" ref="H640">IF(TRIM(G640)="",
   MEDIAN(IFERROR(--SUBSTITUTE(SUBSTITUTE(SUBSTITUTE(SUBSTITUTE(SUBSTITUTE(SUBSTITUTE(G$2:G$747,"Rs.",""),"INR",""),"₹",""),"â‚¹",""),"$","")," ",""),"")),
   IFERROR(--SUBSTITUTE(SUBSTITUTE(SUBSTITUTE(SUBSTITUTE(SUBSTITUTE(SUBSTITUTE(TRIM(G640),"Rs.",""),"INR",""),"₹",""),"â‚¹",""),"$","")," ",""),"")
)</f>
        <v>69923</v>
      </c>
      <c r="I640" s="1" t="str">
        <f t="shared" si="28"/>
        <v>Nill</v>
      </c>
      <c r="J640" s="1">
        <f t="shared" si="29"/>
        <v>69923</v>
      </c>
      <c r="K640" s="1" t="s">
        <v>75</v>
      </c>
      <c r="L640" s="1" t="s">
        <v>17</v>
      </c>
      <c r="M640" s="1" t="s">
        <v>1253</v>
      </c>
      <c r="N640"/>
    </row>
    <row r="641" spans="1:14" x14ac:dyDescent="0.25">
      <c r="A641" s="1" t="s">
        <v>675</v>
      </c>
      <c r="B641" s="1" t="s">
        <v>306</v>
      </c>
      <c r="C641" s="5">
        <v>45527</v>
      </c>
      <c r="D641" s="6">
        <f t="shared" si="27"/>
        <v>45527</v>
      </c>
      <c r="E641" s="1" t="s">
        <v>11</v>
      </c>
      <c r="F641" s="1" t="s">
        <v>249</v>
      </c>
      <c r="G641" s="1">
        <v>6348</v>
      </c>
      <c r="H641" s="1" cm="1">
        <f t="array" ref="H641">IF(TRIM(G641)="",
   MEDIAN(IFERROR(--SUBSTITUTE(SUBSTITUTE(SUBSTITUTE(SUBSTITUTE(SUBSTITUTE(SUBSTITUTE(G$2:G$747,"Rs.",""),"INR",""),"₹",""),"â‚¹",""),"$","")," ",""),"")),
   IFERROR(--SUBSTITUTE(SUBSTITUTE(SUBSTITUTE(SUBSTITUTE(SUBSTITUTE(SUBSTITUTE(TRIM(G641),"Rs.",""),"INR",""),"₹",""),"â‚¹",""),"$","")," ",""),"")
)</f>
        <v>6348</v>
      </c>
      <c r="I641" s="1">
        <f t="shared" si="28"/>
        <v>6348</v>
      </c>
      <c r="J641" s="1" t="str">
        <f t="shared" si="29"/>
        <v>Nill</v>
      </c>
      <c r="K641" s="1" t="s">
        <v>12</v>
      </c>
      <c r="L641" s="1" t="s">
        <v>299</v>
      </c>
      <c r="M641" s="1" t="s">
        <v>1253</v>
      </c>
      <c r="N641"/>
    </row>
    <row r="642" spans="1:14" x14ac:dyDescent="0.25">
      <c r="A642" s="1" t="s">
        <v>468</v>
      </c>
      <c r="B642" s="1" t="s">
        <v>201</v>
      </c>
      <c r="C642" s="5">
        <v>44446</v>
      </c>
      <c r="D642" s="6">
        <f t="shared" ref="D642:D705" si="30">IF(ISBLANK(C642),("unknown"),IF(ISNUMBER(C642),C642,DATE(RIGHT(C642,4),LEFT(C642,2),MID(C642,4,2))))</f>
        <v>44446</v>
      </c>
      <c r="E642" s="1" t="s">
        <v>11</v>
      </c>
      <c r="F642" s="1" t="s">
        <v>30</v>
      </c>
      <c r="G642" s="1">
        <v>356</v>
      </c>
      <c r="H642" s="1" cm="1">
        <f t="array" ref="H642">IF(TRIM(G642)="",
   MEDIAN(IFERROR(--SUBSTITUTE(SUBSTITUTE(SUBSTITUTE(SUBSTITUTE(SUBSTITUTE(SUBSTITUTE(G$2:G$747,"Rs.",""),"INR",""),"₹",""),"â‚¹",""),"$","")," ",""),"")),
   IFERROR(--SUBSTITUTE(SUBSTITUTE(SUBSTITUTE(SUBSTITUTE(SUBSTITUTE(SUBSTITUTE(TRIM(G642),"Rs.",""),"INR",""),"₹",""),"â‚¹",""),"$","")," ",""),"")
)</f>
        <v>356</v>
      </c>
      <c r="I642" s="1">
        <f t="shared" ref="I642:I705" si="31">IF(E642="Expense",H642,"Nill")</f>
        <v>356</v>
      </c>
      <c r="J642" s="1" t="str">
        <f t="shared" ref="J642:J705" si="32">IF(E642="Income",H642,"Nill")</f>
        <v>Nill</v>
      </c>
      <c r="K642" s="1" t="s">
        <v>25</v>
      </c>
      <c r="L642" s="1" t="s">
        <v>97</v>
      </c>
      <c r="M642" s="1" t="s">
        <v>1253</v>
      </c>
      <c r="N642"/>
    </row>
    <row r="643" spans="1:14" x14ac:dyDescent="0.25">
      <c r="A643" s="1" t="s">
        <v>285</v>
      </c>
      <c r="B643" s="1" t="s">
        <v>251</v>
      </c>
      <c r="C643" s="1" t="s">
        <v>286</v>
      </c>
      <c r="D643" s="6">
        <f t="shared" si="30"/>
        <v>44727</v>
      </c>
      <c r="E643" s="1" t="s">
        <v>11</v>
      </c>
      <c r="F643" s="1" t="s">
        <v>759</v>
      </c>
      <c r="G643" s="1">
        <v>5195</v>
      </c>
      <c r="H643" s="1" cm="1">
        <f t="array" ref="H643">IF(TRIM(G643)="",
   MEDIAN(IFERROR(--SUBSTITUTE(SUBSTITUTE(SUBSTITUTE(SUBSTITUTE(SUBSTITUTE(SUBSTITUTE(G$2:G$747,"Rs.",""),"INR",""),"₹",""),"â‚¹",""),"$","")," ",""),"")),
   IFERROR(--SUBSTITUTE(SUBSTITUTE(SUBSTITUTE(SUBSTITUTE(SUBSTITUTE(SUBSTITUTE(TRIM(G643),"Rs.",""),"INR",""),"₹",""),"â‚¹",""),"$","")," ",""),"")
)</f>
        <v>5195</v>
      </c>
      <c r="I643" s="1">
        <f t="shared" si="31"/>
        <v>5195</v>
      </c>
      <c r="J643" s="1" t="str">
        <f t="shared" si="32"/>
        <v>Nill</v>
      </c>
      <c r="K643" s="1" t="s">
        <v>87</v>
      </c>
      <c r="L643" s="1" t="s">
        <v>40</v>
      </c>
      <c r="M643" s="1" t="s">
        <v>49</v>
      </c>
      <c r="N643"/>
    </row>
    <row r="644" spans="1:14" x14ac:dyDescent="0.25">
      <c r="A644" s="1" t="s">
        <v>207</v>
      </c>
      <c r="B644" s="1" t="s">
        <v>208</v>
      </c>
      <c r="C644" s="5">
        <v>45073</v>
      </c>
      <c r="D644" s="6">
        <f t="shared" si="30"/>
        <v>45073</v>
      </c>
      <c r="E644" s="1" t="s">
        <v>11</v>
      </c>
      <c r="F644" s="1" t="s">
        <v>30</v>
      </c>
      <c r="G644" s="1">
        <v>9648</v>
      </c>
      <c r="H644" s="1" cm="1">
        <f t="array" ref="H644">IF(TRIM(G644)="",
   MEDIAN(IFERROR(--SUBSTITUTE(SUBSTITUTE(SUBSTITUTE(SUBSTITUTE(SUBSTITUTE(SUBSTITUTE(G$2:G$747,"Rs.",""),"INR",""),"₹",""),"â‚¹",""),"$","")," ",""),"")),
   IFERROR(--SUBSTITUTE(SUBSTITUTE(SUBSTITUTE(SUBSTITUTE(SUBSTITUTE(SUBSTITUTE(TRIM(G644),"Rs.",""),"INR",""),"₹",""),"â‚¹",""),"$","")," ",""),"")
)</f>
        <v>9648</v>
      </c>
      <c r="I644" s="1">
        <f t="shared" si="31"/>
        <v>9648</v>
      </c>
      <c r="J644" s="1" t="str">
        <f t="shared" si="32"/>
        <v>Nill</v>
      </c>
      <c r="K644" s="1" t="s">
        <v>25</v>
      </c>
      <c r="L644" s="1" t="s">
        <v>217</v>
      </c>
      <c r="M644" s="1" t="s">
        <v>1253</v>
      </c>
      <c r="N644"/>
    </row>
    <row r="645" spans="1:14" x14ac:dyDescent="0.25">
      <c r="A645" s="1" t="s">
        <v>683</v>
      </c>
      <c r="B645" s="1" t="s">
        <v>568</v>
      </c>
      <c r="C645" s="5">
        <v>44420</v>
      </c>
      <c r="D645" s="6">
        <f t="shared" si="30"/>
        <v>44420</v>
      </c>
      <c r="E645" s="1" t="s">
        <v>11</v>
      </c>
      <c r="F645" s="1" t="s">
        <v>85</v>
      </c>
      <c r="G645" s="1">
        <v>1037</v>
      </c>
      <c r="H645" s="1" cm="1">
        <f t="array" ref="H645">IF(TRIM(G645)="",
   MEDIAN(IFERROR(--SUBSTITUTE(SUBSTITUTE(SUBSTITUTE(SUBSTITUTE(SUBSTITUTE(SUBSTITUTE(G$2:G$747,"Rs.",""),"INR",""),"₹",""),"â‚¹",""),"$","")," ",""),"")),
   IFERROR(--SUBSTITUTE(SUBSTITUTE(SUBSTITUTE(SUBSTITUTE(SUBSTITUTE(SUBSTITUTE(TRIM(G645),"Rs.",""),"INR",""),"₹",""),"â‚¹",""),"$","")," ",""),"")
)</f>
        <v>1037</v>
      </c>
      <c r="I645" s="1">
        <f t="shared" si="31"/>
        <v>1037</v>
      </c>
      <c r="J645" s="1" t="str">
        <f t="shared" si="32"/>
        <v>Nill</v>
      </c>
      <c r="K645" s="1" t="s">
        <v>261</v>
      </c>
      <c r="L645" s="1" t="s">
        <v>81</v>
      </c>
      <c r="M645" s="1" t="s">
        <v>26</v>
      </c>
      <c r="N645"/>
    </row>
    <row r="646" spans="1:14" x14ac:dyDescent="0.25">
      <c r="A646" s="1" t="s">
        <v>475</v>
      </c>
      <c r="B646" s="1" t="s">
        <v>201</v>
      </c>
      <c r="C646" s="5">
        <v>44402</v>
      </c>
      <c r="D646" s="6">
        <f t="shared" si="30"/>
        <v>44402</v>
      </c>
      <c r="E646" s="1" t="s">
        <v>11</v>
      </c>
      <c r="F646" s="1" t="s">
        <v>104</v>
      </c>
      <c r="G646" s="1">
        <v>4638</v>
      </c>
      <c r="H646" s="1" cm="1">
        <f t="array" ref="H646">IF(TRIM(G646)="",
   MEDIAN(IFERROR(--SUBSTITUTE(SUBSTITUTE(SUBSTITUTE(SUBSTITUTE(SUBSTITUTE(SUBSTITUTE(G$2:G$747,"Rs.",""),"INR",""),"₹",""),"â‚¹",""),"$","")," ",""),"")),
   IFERROR(--SUBSTITUTE(SUBSTITUTE(SUBSTITUTE(SUBSTITUTE(SUBSTITUTE(SUBSTITUTE(TRIM(G646),"Rs.",""),"INR",""),"₹",""),"â‚¹",""),"$","")," ",""),"")
)</f>
        <v>4638</v>
      </c>
      <c r="I646" s="1">
        <f t="shared" si="31"/>
        <v>4638</v>
      </c>
      <c r="J646" s="1" t="str">
        <f t="shared" si="32"/>
        <v>Nill</v>
      </c>
      <c r="K646" s="1" t="s">
        <v>12</v>
      </c>
      <c r="L646" s="1" t="s">
        <v>1252</v>
      </c>
      <c r="M646" s="1" t="s">
        <v>1253</v>
      </c>
      <c r="N646"/>
    </row>
    <row r="647" spans="1:14" x14ac:dyDescent="0.25">
      <c r="A647" s="1" t="s">
        <v>1005</v>
      </c>
      <c r="B647" s="1" t="s">
        <v>121</v>
      </c>
      <c r="C647" s="5">
        <v>44845</v>
      </c>
      <c r="D647" s="6">
        <f t="shared" si="30"/>
        <v>44845</v>
      </c>
      <c r="E647" s="1" t="s">
        <v>11</v>
      </c>
      <c r="F647" s="1" t="s">
        <v>158</v>
      </c>
      <c r="G647" s="1" t="s">
        <v>1006</v>
      </c>
      <c r="H647" s="1" cm="1">
        <f t="array" ref="H647">IF(TRIM(G647)="",
   MEDIAN(IFERROR(--SUBSTITUTE(SUBSTITUTE(SUBSTITUTE(SUBSTITUTE(SUBSTITUTE(SUBSTITUTE(G$2:G$747,"Rs.",""),"INR",""),"₹",""),"â‚¹",""),"$","")," ",""),"")),
   IFERROR(--SUBSTITUTE(SUBSTITUTE(SUBSTITUTE(SUBSTITUTE(SUBSTITUTE(SUBSTITUTE(TRIM(G647),"Rs.",""),"INR",""),"₹",""),"â‚¹",""),"$","")," ",""),"")
)</f>
        <v>3954</v>
      </c>
      <c r="I647" s="1">
        <f t="shared" si="31"/>
        <v>3954</v>
      </c>
      <c r="J647" s="1" t="str">
        <f t="shared" si="32"/>
        <v>Nill</v>
      </c>
      <c r="K647" s="1" t="s">
        <v>25</v>
      </c>
      <c r="L647" s="1" t="s">
        <v>1252</v>
      </c>
      <c r="M647" s="1" t="s">
        <v>1253</v>
      </c>
      <c r="N647"/>
    </row>
    <row r="648" spans="1:14" x14ac:dyDescent="0.25">
      <c r="A648" s="1" t="s">
        <v>979</v>
      </c>
      <c r="B648" s="1" t="s">
        <v>315</v>
      </c>
      <c r="C648" s="1" t="s">
        <v>980</v>
      </c>
      <c r="D648" s="6">
        <f t="shared" si="30"/>
        <v>44544</v>
      </c>
      <c r="E648" s="1" t="s">
        <v>11</v>
      </c>
      <c r="F648" s="1" t="s">
        <v>249</v>
      </c>
      <c r="G648" s="1" t="s">
        <v>981</v>
      </c>
      <c r="H648" s="1" cm="1">
        <f t="array" ref="H648">IF(TRIM(G648)="",
   MEDIAN(IFERROR(--SUBSTITUTE(SUBSTITUTE(SUBSTITUTE(SUBSTITUTE(SUBSTITUTE(SUBSTITUTE(G$2:G$747,"Rs.",""),"INR",""),"₹",""),"â‚¹",""),"$","")," ",""),"")),
   IFERROR(--SUBSTITUTE(SUBSTITUTE(SUBSTITUTE(SUBSTITUTE(SUBSTITUTE(SUBSTITUTE(TRIM(G648),"Rs.",""),"INR",""),"₹",""),"â‚¹",""),"$","")," ",""),"")
)</f>
        <v>6566</v>
      </c>
      <c r="I648" s="1">
        <f t="shared" si="31"/>
        <v>6566</v>
      </c>
      <c r="J648" s="1" t="str">
        <f t="shared" si="32"/>
        <v>Nill</v>
      </c>
      <c r="K648" s="1" t="s">
        <v>25</v>
      </c>
      <c r="L648" s="1" t="s">
        <v>198</v>
      </c>
      <c r="M648" s="1" t="s">
        <v>1253</v>
      </c>
      <c r="N648"/>
    </row>
    <row r="649" spans="1:14" x14ac:dyDescent="0.25">
      <c r="A649" s="1" t="s">
        <v>674</v>
      </c>
      <c r="B649" s="1" t="s">
        <v>590</v>
      </c>
      <c r="C649" s="5">
        <v>45061</v>
      </c>
      <c r="D649" s="6">
        <f t="shared" si="30"/>
        <v>45061</v>
      </c>
      <c r="E649" s="1" t="s">
        <v>11</v>
      </c>
      <c r="F649" s="1" t="s">
        <v>171</v>
      </c>
      <c r="G649" s="1">
        <v>5988</v>
      </c>
      <c r="H649" s="1" cm="1">
        <f t="array" ref="H649">IF(TRIM(G649)="",
   MEDIAN(IFERROR(--SUBSTITUTE(SUBSTITUTE(SUBSTITUTE(SUBSTITUTE(SUBSTITUTE(SUBSTITUTE(G$2:G$747,"Rs.",""),"INR",""),"₹",""),"â‚¹",""),"$","")," ",""),"")),
   IFERROR(--SUBSTITUTE(SUBSTITUTE(SUBSTITUTE(SUBSTITUTE(SUBSTITUTE(SUBSTITUTE(TRIM(G649),"Rs.",""),"INR",""),"₹",""),"â‚¹",""),"$","")," ",""),"")
)</f>
        <v>5988</v>
      </c>
      <c r="I649" s="1">
        <f t="shared" si="31"/>
        <v>5988</v>
      </c>
      <c r="J649" s="1" t="str">
        <f t="shared" si="32"/>
        <v>Nill</v>
      </c>
      <c r="K649" s="1" t="s">
        <v>25</v>
      </c>
      <c r="L649" s="1" t="s">
        <v>198</v>
      </c>
      <c r="M649" s="1" t="s">
        <v>14</v>
      </c>
      <c r="N649"/>
    </row>
    <row r="650" spans="1:14" x14ac:dyDescent="0.25">
      <c r="A650" s="1" t="s">
        <v>1237</v>
      </c>
      <c r="B650" s="1" t="s">
        <v>1159</v>
      </c>
      <c r="C650" s="5">
        <v>44283</v>
      </c>
      <c r="D650" s="6">
        <f t="shared" si="30"/>
        <v>44283</v>
      </c>
      <c r="E650" s="1" t="s">
        <v>11</v>
      </c>
      <c r="F650" s="1" t="s">
        <v>171</v>
      </c>
      <c r="G650" s="1" t="s">
        <v>1238</v>
      </c>
      <c r="H650" s="1" cm="1">
        <f t="array" ref="H650">IF(TRIM(G650)="",
   MEDIAN(IFERROR(--SUBSTITUTE(SUBSTITUTE(SUBSTITUTE(SUBSTITUTE(SUBSTITUTE(SUBSTITUTE(G$2:G$747,"Rs.",""),"INR",""),"₹",""),"â‚¹",""),"$","")," ",""),"")),
   IFERROR(--SUBSTITUTE(SUBSTITUTE(SUBSTITUTE(SUBSTITUTE(SUBSTITUTE(SUBSTITUTE(TRIM(G650),"Rs.",""),"INR",""),"₹",""),"â‚¹",""),"$","")," ",""),"")
)</f>
        <v>2358</v>
      </c>
      <c r="I650" s="1">
        <f t="shared" si="31"/>
        <v>2358</v>
      </c>
      <c r="J650" s="1" t="str">
        <f t="shared" si="32"/>
        <v>Nill</v>
      </c>
      <c r="K650" s="1" t="s">
        <v>204</v>
      </c>
      <c r="L650" s="1" t="s">
        <v>1252</v>
      </c>
      <c r="M650" s="1" t="s">
        <v>1253</v>
      </c>
      <c r="N650"/>
    </row>
    <row r="651" spans="1:14" x14ac:dyDescent="0.25">
      <c r="A651" s="1" t="s">
        <v>586</v>
      </c>
      <c r="B651" s="1" t="s">
        <v>56</v>
      </c>
      <c r="C651" s="5">
        <v>44284</v>
      </c>
      <c r="D651" s="6">
        <f t="shared" si="30"/>
        <v>44284</v>
      </c>
      <c r="E651" s="1" t="s">
        <v>11</v>
      </c>
      <c r="F651" s="1" t="s">
        <v>30</v>
      </c>
      <c r="G651" s="1">
        <v>7845</v>
      </c>
      <c r="H651" s="1" cm="1">
        <f t="array" ref="H651">IF(TRIM(G651)="",
   MEDIAN(IFERROR(--SUBSTITUTE(SUBSTITUTE(SUBSTITUTE(SUBSTITUTE(SUBSTITUTE(SUBSTITUTE(G$2:G$747,"Rs.",""),"INR",""),"₹",""),"â‚¹",""),"$","")," ",""),"")),
   IFERROR(--SUBSTITUTE(SUBSTITUTE(SUBSTITUTE(SUBSTITUTE(SUBSTITUTE(SUBSTITUTE(TRIM(G651),"Rs.",""),"INR",""),"₹",""),"â‚¹",""),"$","")," ",""),"")
)</f>
        <v>7845</v>
      </c>
      <c r="I651" s="1">
        <f t="shared" si="31"/>
        <v>7845</v>
      </c>
      <c r="J651" s="1" t="str">
        <f t="shared" si="32"/>
        <v>Nill</v>
      </c>
      <c r="K651" s="1" t="s">
        <v>138</v>
      </c>
      <c r="L651" s="1" t="s">
        <v>127</v>
      </c>
      <c r="M651" s="1" t="s">
        <v>1253</v>
      </c>
      <c r="N651"/>
    </row>
    <row r="652" spans="1:14" x14ac:dyDescent="0.25">
      <c r="A652" s="1" t="s">
        <v>793</v>
      </c>
      <c r="B652" s="1" t="s">
        <v>67</v>
      </c>
      <c r="C652" s="5">
        <v>44410</v>
      </c>
      <c r="D652" s="6">
        <f t="shared" si="30"/>
        <v>44410</v>
      </c>
      <c r="E652" s="1" t="s">
        <v>11</v>
      </c>
      <c r="F652" s="1" t="s">
        <v>759</v>
      </c>
      <c r="G652" s="1" t="s">
        <v>794</v>
      </c>
      <c r="H652" s="1" cm="1">
        <f t="array" ref="H652">IF(TRIM(G652)="",
   MEDIAN(IFERROR(--SUBSTITUTE(SUBSTITUTE(SUBSTITUTE(SUBSTITUTE(SUBSTITUTE(SUBSTITUTE(G$2:G$747,"Rs.",""),"INR",""),"₹",""),"â‚¹",""),"$","")," ",""),"")),
   IFERROR(--SUBSTITUTE(SUBSTITUTE(SUBSTITUTE(SUBSTITUTE(SUBSTITUTE(SUBSTITUTE(TRIM(G652),"Rs.",""),"INR",""),"₹",""),"â‚¹",""),"$","")," ",""),"")
)</f>
        <v>4694</v>
      </c>
      <c r="I652" s="1">
        <f t="shared" si="31"/>
        <v>4694</v>
      </c>
      <c r="J652" s="1" t="str">
        <f t="shared" si="32"/>
        <v>Nill</v>
      </c>
      <c r="K652" s="1" t="s">
        <v>172</v>
      </c>
      <c r="L652" s="1" t="s">
        <v>13</v>
      </c>
      <c r="M652" s="1" t="s">
        <v>241</v>
      </c>
      <c r="N652"/>
    </row>
    <row r="653" spans="1:14" x14ac:dyDescent="0.25">
      <c r="A653" s="1" t="s">
        <v>850</v>
      </c>
      <c r="B653" s="1" t="s">
        <v>222</v>
      </c>
      <c r="C653" s="5">
        <v>45267</v>
      </c>
      <c r="D653" s="6">
        <f t="shared" si="30"/>
        <v>45267</v>
      </c>
      <c r="E653" s="1" t="s">
        <v>11</v>
      </c>
      <c r="F653" s="1" t="s">
        <v>249</v>
      </c>
      <c r="G653" s="1">
        <v>4771</v>
      </c>
      <c r="H653" s="1" cm="1">
        <f t="array" ref="H653">IF(TRIM(G653)="",
   MEDIAN(IFERROR(--SUBSTITUTE(SUBSTITUTE(SUBSTITUTE(SUBSTITUTE(SUBSTITUTE(SUBSTITUTE(G$2:G$747,"Rs.",""),"INR",""),"₹",""),"â‚¹",""),"$","")," ",""),"")),
   IFERROR(--SUBSTITUTE(SUBSTITUTE(SUBSTITUTE(SUBSTITUTE(SUBSTITUTE(SUBSTITUTE(TRIM(G653),"Rs.",""),"INR",""),"₹",""),"â‚¹",""),"$","")," ",""),"")
)</f>
        <v>4771</v>
      </c>
      <c r="I653" s="1">
        <f t="shared" si="31"/>
        <v>4771</v>
      </c>
      <c r="J653" s="1" t="str">
        <f t="shared" si="32"/>
        <v>Nill</v>
      </c>
      <c r="K653" s="1" t="s">
        <v>25</v>
      </c>
      <c r="L653" s="1" t="s">
        <v>167</v>
      </c>
      <c r="M653" s="1" t="s">
        <v>179</v>
      </c>
      <c r="N653"/>
    </row>
    <row r="654" spans="1:14" x14ac:dyDescent="0.25">
      <c r="A654" s="1" t="s">
        <v>390</v>
      </c>
      <c r="B654" s="1" t="s">
        <v>219</v>
      </c>
      <c r="C654" s="5">
        <v>45020</v>
      </c>
      <c r="D654" s="6">
        <f t="shared" si="30"/>
        <v>45020</v>
      </c>
      <c r="E654" s="1" t="s">
        <v>11</v>
      </c>
      <c r="F654" s="1" t="s">
        <v>69</v>
      </c>
      <c r="G654" s="1">
        <v>276</v>
      </c>
      <c r="H654" s="1" cm="1">
        <f t="array" ref="H654">IF(TRIM(G654)="",
   MEDIAN(IFERROR(--SUBSTITUTE(SUBSTITUTE(SUBSTITUTE(SUBSTITUTE(SUBSTITUTE(SUBSTITUTE(G$2:G$747,"Rs.",""),"INR",""),"₹",""),"â‚¹",""),"$","")," ",""),"")),
   IFERROR(--SUBSTITUTE(SUBSTITUTE(SUBSTITUTE(SUBSTITUTE(SUBSTITUTE(SUBSTITUTE(TRIM(G654),"Rs.",""),"INR",""),"₹",""),"â‚¹",""),"$","")," ",""),"")
)</f>
        <v>276</v>
      </c>
      <c r="I654" s="1">
        <f t="shared" si="31"/>
        <v>276</v>
      </c>
      <c r="J654" s="1" t="str">
        <f t="shared" si="32"/>
        <v>Nill</v>
      </c>
      <c r="K654" s="1" t="s">
        <v>25</v>
      </c>
      <c r="L654" s="1" t="s">
        <v>167</v>
      </c>
      <c r="M654" s="1" t="s">
        <v>70</v>
      </c>
      <c r="N654"/>
    </row>
    <row r="655" spans="1:14" x14ac:dyDescent="0.25">
      <c r="A655" s="1" t="s">
        <v>1112</v>
      </c>
      <c r="B655" s="1" t="s">
        <v>166</v>
      </c>
      <c r="C655" s="5">
        <v>44235</v>
      </c>
      <c r="D655" s="6">
        <f t="shared" si="30"/>
        <v>44235</v>
      </c>
      <c r="E655" s="1" t="s">
        <v>11</v>
      </c>
      <c r="F655" s="1" t="s">
        <v>171</v>
      </c>
      <c r="H655" s="1" cm="1">
        <f t="array" ref="H655">IF(TRIM(G655)="",
   MEDIAN(IFERROR(--SUBSTITUTE(SUBSTITUTE(SUBSTITUTE(SUBSTITUTE(SUBSTITUTE(SUBSTITUTE(G$2:G$747,"Rs.",""),"INR",""),"₹",""),"â‚¹",""),"$","")," ",""),"")),
   IFERROR(--SUBSTITUTE(SUBSTITUTE(SUBSTITUTE(SUBSTITUTE(SUBSTITUTE(SUBSTITUTE(TRIM(G655),"Rs.",""),"INR",""),"₹",""),"â‚¹",""),"$","")," ",""),"")
)</f>
        <v>5935</v>
      </c>
      <c r="I655" s="1">
        <f t="shared" si="31"/>
        <v>5935</v>
      </c>
      <c r="J655" s="1" t="str">
        <f t="shared" si="32"/>
        <v>Nill</v>
      </c>
      <c r="K655" s="1" t="s">
        <v>204</v>
      </c>
      <c r="L655" s="1" t="s">
        <v>40</v>
      </c>
      <c r="M655" s="1" t="s">
        <v>88</v>
      </c>
      <c r="N655"/>
    </row>
    <row r="656" spans="1:14" x14ac:dyDescent="0.25">
      <c r="A656" s="1" t="s">
        <v>408</v>
      </c>
      <c r="B656" s="1" t="s">
        <v>19</v>
      </c>
      <c r="C656" s="5">
        <v>45417</v>
      </c>
      <c r="D656" s="6">
        <f t="shared" si="30"/>
        <v>45417</v>
      </c>
      <c r="E656" s="1" t="s">
        <v>11</v>
      </c>
      <c r="F656" s="1" t="s">
        <v>69</v>
      </c>
      <c r="H656" s="1" cm="1">
        <f t="array" ref="H656">IF(TRIM(G656)="",
   MEDIAN(IFERROR(--SUBSTITUTE(SUBSTITUTE(SUBSTITUTE(SUBSTITUTE(SUBSTITUTE(SUBSTITUTE(G$2:G$747,"Rs.",""),"INR",""),"₹",""),"â‚¹",""),"$","")," ",""),"")),
   IFERROR(--SUBSTITUTE(SUBSTITUTE(SUBSTITUTE(SUBSTITUTE(SUBSTITUTE(SUBSTITUTE(TRIM(G656),"Rs.",""),"INR",""),"₹",""),"â‚¹",""),"$","")," ",""),"")
)</f>
        <v>5935</v>
      </c>
      <c r="I656" s="1">
        <f t="shared" si="31"/>
        <v>5935</v>
      </c>
      <c r="J656" s="1" t="str">
        <f t="shared" si="32"/>
        <v>Nill</v>
      </c>
      <c r="K656" s="1" t="s">
        <v>25</v>
      </c>
      <c r="L656" s="1" t="s">
        <v>217</v>
      </c>
      <c r="M656" s="1" t="s">
        <v>1253</v>
      </c>
      <c r="N656"/>
    </row>
    <row r="657" spans="1:14" x14ac:dyDescent="0.25">
      <c r="A657" s="1" t="s">
        <v>811</v>
      </c>
      <c r="B657" s="1" t="s">
        <v>265</v>
      </c>
      <c r="C657" s="5">
        <v>44338</v>
      </c>
      <c r="D657" s="6">
        <f t="shared" si="30"/>
        <v>44338</v>
      </c>
      <c r="E657" s="1" t="s">
        <v>20</v>
      </c>
      <c r="F657" s="1" t="s">
        <v>112</v>
      </c>
      <c r="G657" s="1">
        <v>30473</v>
      </c>
      <c r="H657" s="1" cm="1">
        <f t="array" ref="H657">IF(TRIM(G657)="",
   MEDIAN(IFERROR(--SUBSTITUTE(SUBSTITUTE(SUBSTITUTE(SUBSTITUTE(SUBSTITUTE(SUBSTITUTE(G$2:G$747,"Rs.",""),"INR",""),"₹",""),"â‚¹",""),"$","")," ",""),"")),
   IFERROR(--SUBSTITUTE(SUBSTITUTE(SUBSTITUTE(SUBSTITUTE(SUBSTITUTE(SUBSTITUTE(TRIM(G657),"Rs.",""),"INR",""),"₹",""),"â‚¹",""),"$","")," ",""),"")
)</f>
        <v>30473</v>
      </c>
      <c r="I657" s="1" t="str">
        <f t="shared" si="31"/>
        <v>Nill</v>
      </c>
      <c r="J657" s="1">
        <f t="shared" si="32"/>
        <v>30473</v>
      </c>
      <c r="K657" s="1" t="s">
        <v>75</v>
      </c>
      <c r="L657" s="1" t="s">
        <v>127</v>
      </c>
      <c r="M657" s="1" t="s">
        <v>117</v>
      </c>
      <c r="N657"/>
    </row>
    <row r="658" spans="1:14" x14ac:dyDescent="0.25">
      <c r="A658" s="1" t="s">
        <v>381</v>
      </c>
      <c r="B658" s="1" t="s">
        <v>382</v>
      </c>
      <c r="C658" s="5">
        <v>44366</v>
      </c>
      <c r="D658" s="6">
        <f t="shared" si="30"/>
        <v>44366</v>
      </c>
      <c r="E658" s="1" t="s">
        <v>11</v>
      </c>
      <c r="F658" s="1" t="s">
        <v>30</v>
      </c>
      <c r="G658" s="1">
        <v>1998</v>
      </c>
      <c r="H658" s="1" cm="1">
        <f t="array" ref="H658">IF(TRIM(G658)="",
   MEDIAN(IFERROR(--SUBSTITUTE(SUBSTITUTE(SUBSTITUTE(SUBSTITUTE(SUBSTITUTE(SUBSTITUTE(G$2:G$747,"Rs.",""),"INR",""),"₹",""),"â‚¹",""),"$","")," ",""),"")),
   IFERROR(--SUBSTITUTE(SUBSTITUTE(SUBSTITUTE(SUBSTITUTE(SUBSTITUTE(SUBSTITUTE(TRIM(G658),"Rs.",""),"INR",""),"₹",""),"â‚¹",""),"$","")," ",""),"")
)</f>
        <v>1998</v>
      </c>
      <c r="I658" s="1">
        <f t="shared" si="31"/>
        <v>1998</v>
      </c>
      <c r="J658" s="1" t="str">
        <f t="shared" si="32"/>
        <v>Nill</v>
      </c>
      <c r="K658" s="1" t="s">
        <v>48</v>
      </c>
      <c r="L658" s="1" t="s">
        <v>40</v>
      </c>
      <c r="M658" s="1" t="s">
        <v>122</v>
      </c>
      <c r="N658"/>
    </row>
    <row r="659" spans="1:14" x14ac:dyDescent="0.25">
      <c r="A659" s="1" t="s">
        <v>512</v>
      </c>
      <c r="B659" s="1" t="s">
        <v>513</v>
      </c>
      <c r="C659" s="5">
        <v>44485</v>
      </c>
      <c r="D659" s="6">
        <f t="shared" si="30"/>
        <v>44485</v>
      </c>
      <c r="E659" s="1" t="s">
        <v>11</v>
      </c>
      <c r="F659" s="1" t="s">
        <v>104</v>
      </c>
      <c r="G659" s="1">
        <v>8152</v>
      </c>
      <c r="H659" s="1" cm="1">
        <f t="array" ref="H659">IF(TRIM(G659)="",
   MEDIAN(IFERROR(--SUBSTITUTE(SUBSTITUTE(SUBSTITUTE(SUBSTITUTE(SUBSTITUTE(SUBSTITUTE(G$2:G$747,"Rs.",""),"INR",""),"₹",""),"â‚¹",""),"$","")," ",""),"")),
   IFERROR(--SUBSTITUTE(SUBSTITUTE(SUBSTITUTE(SUBSTITUTE(SUBSTITUTE(SUBSTITUTE(TRIM(G659),"Rs.",""),"INR",""),"₹",""),"â‚¹",""),"$","")," ",""),"")
)</f>
        <v>8152</v>
      </c>
      <c r="I659" s="1">
        <f t="shared" si="31"/>
        <v>8152</v>
      </c>
      <c r="J659" s="1" t="str">
        <f t="shared" si="32"/>
        <v>Nill</v>
      </c>
      <c r="K659" s="1" t="s">
        <v>172</v>
      </c>
      <c r="L659" s="1" t="s">
        <v>127</v>
      </c>
      <c r="M659" s="1" t="s">
        <v>41</v>
      </c>
      <c r="N659"/>
    </row>
    <row r="660" spans="1:14" x14ac:dyDescent="0.25">
      <c r="A660" s="1" t="s">
        <v>930</v>
      </c>
      <c r="B660" s="1" t="s">
        <v>399</v>
      </c>
      <c r="C660" s="5">
        <v>45277</v>
      </c>
      <c r="D660" s="6">
        <f t="shared" si="30"/>
        <v>45277</v>
      </c>
      <c r="E660" s="1" t="s">
        <v>11</v>
      </c>
      <c r="F660" s="1" t="s">
        <v>69</v>
      </c>
      <c r="G660" s="1">
        <v>1180</v>
      </c>
      <c r="H660" s="1" cm="1">
        <f t="array" ref="H660">IF(TRIM(G660)="",
   MEDIAN(IFERROR(--SUBSTITUTE(SUBSTITUTE(SUBSTITUTE(SUBSTITUTE(SUBSTITUTE(SUBSTITUTE(G$2:G$747,"Rs.",""),"INR",""),"₹",""),"â‚¹",""),"$","")," ",""),"")),
   IFERROR(--SUBSTITUTE(SUBSTITUTE(SUBSTITUTE(SUBSTITUTE(SUBSTITUTE(SUBSTITUTE(TRIM(G660),"Rs.",""),"INR",""),"₹",""),"â‚¹",""),"$","")," ",""),"")
)</f>
        <v>1180</v>
      </c>
      <c r="I660" s="1">
        <f t="shared" si="31"/>
        <v>1180</v>
      </c>
      <c r="J660" s="1" t="str">
        <f t="shared" si="32"/>
        <v>Nill</v>
      </c>
      <c r="K660" s="1" t="s">
        <v>25</v>
      </c>
      <c r="L660" s="1" t="s">
        <v>217</v>
      </c>
      <c r="M660" s="1" t="s">
        <v>179</v>
      </c>
      <c r="N660"/>
    </row>
    <row r="661" spans="1:14" x14ac:dyDescent="0.25">
      <c r="A661" s="1" t="s">
        <v>1079</v>
      </c>
      <c r="B661" s="1" t="s">
        <v>150</v>
      </c>
      <c r="C661" s="5">
        <v>44841</v>
      </c>
      <c r="D661" s="6">
        <f t="shared" si="30"/>
        <v>44841</v>
      </c>
      <c r="E661" s="1" t="s">
        <v>11</v>
      </c>
      <c r="F661" s="1" t="s">
        <v>249</v>
      </c>
      <c r="G661" s="1">
        <v>8421</v>
      </c>
      <c r="H661" s="1" cm="1">
        <f t="array" ref="H661">IF(TRIM(G661)="",
   MEDIAN(IFERROR(--SUBSTITUTE(SUBSTITUTE(SUBSTITUTE(SUBSTITUTE(SUBSTITUTE(SUBSTITUTE(G$2:G$747,"Rs.",""),"INR",""),"₹",""),"â‚¹",""),"$","")," ",""),"")),
   IFERROR(--SUBSTITUTE(SUBSTITUTE(SUBSTITUTE(SUBSTITUTE(SUBSTITUTE(SUBSTITUTE(TRIM(G661),"Rs.",""),"INR",""),"₹",""),"â‚¹",""),"$","")," ",""),"")
)</f>
        <v>8421</v>
      </c>
      <c r="I661" s="1">
        <f t="shared" si="31"/>
        <v>8421</v>
      </c>
      <c r="J661" s="1" t="str">
        <f t="shared" si="32"/>
        <v>Nill</v>
      </c>
      <c r="K661" s="1" t="s">
        <v>25</v>
      </c>
      <c r="L661" s="1" t="s">
        <v>13</v>
      </c>
      <c r="M661" s="1" t="s">
        <v>41</v>
      </c>
      <c r="N661"/>
    </row>
    <row r="662" spans="1:14" x14ac:dyDescent="0.25">
      <c r="A662" s="1" t="s">
        <v>313</v>
      </c>
      <c r="B662" s="1" t="s">
        <v>16</v>
      </c>
      <c r="C662" s="5">
        <v>45051</v>
      </c>
      <c r="D662" s="6">
        <f t="shared" si="30"/>
        <v>45051</v>
      </c>
      <c r="E662" s="1" t="s">
        <v>20</v>
      </c>
      <c r="F662" s="1" t="s">
        <v>239</v>
      </c>
      <c r="G662" s="1">
        <v>32789</v>
      </c>
      <c r="H662" s="1" cm="1">
        <f t="array" ref="H662">IF(TRIM(G662)="",
   MEDIAN(IFERROR(--SUBSTITUTE(SUBSTITUTE(SUBSTITUTE(SUBSTITUTE(SUBSTITUTE(SUBSTITUTE(G$2:G$747,"Rs.",""),"INR",""),"₹",""),"â‚¹",""),"$","")," ",""),"")),
   IFERROR(--SUBSTITUTE(SUBSTITUTE(SUBSTITUTE(SUBSTITUTE(SUBSTITUTE(SUBSTITUTE(TRIM(G662),"Rs.",""),"INR",""),"₹",""),"â‚¹",""),"$","")," ",""),"")
)</f>
        <v>32789</v>
      </c>
      <c r="I662" s="1" t="str">
        <f t="shared" si="31"/>
        <v>Nill</v>
      </c>
      <c r="J662" s="1">
        <f t="shared" si="32"/>
        <v>32789</v>
      </c>
      <c r="K662" s="1" t="s">
        <v>138</v>
      </c>
      <c r="L662" s="1" t="s">
        <v>81</v>
      </c>
      <c r="M662" s="1" t="s">
        <v>255</v>
      </c>
      <c r="N662"/>
    </row>
    <row r="663" spans="1:14" x14ac:dyDescent="0.25">
      <c r="A663" s="1" t="s">
        <v>511</v>
      </c>
      <c r="B663" s="1" t="s">
        <v>78</v>
      </c>
      <c r="C663" s="5">
        <v>44698</v>
      </c>
      <c r="D663" s="6">
        <f t="shared" si="30"/>
        <v>44698</v>
      </c>
      <c r="E663" s="1" t="s">
        <v>11</v>
      </c>
      <c r="F663" s="1" t="s">
        <v>69</v>
      </c>
      <c r="G663" s="1">
        <v>4945</v>
      </c>
      <c r="H663" s="1" cm="1">
        <f t="array" ref="H663">IF(TRIM(G663)="",
   MEDIAN(IFERROR(--SUBSTITUTE(SUBSTITUTE(SUBSTITUTE(SUBSTITUTE(SUBSTITUTE(SUBSTITUTE(G$2:G$747,"Rs.",""),"INR",""),"₹",""),"â‚¹",""),"$","")," ",""),"")),
   IFERROR(--SUBSTITUTE(SUBSTITUTE(SUBSTITUTE(SUBSTITUTE(SUBSTITUTE(SUBSTITUTE(TRIM(G663),"Rs.",""),"INR",""),"₹",""),"â‚¹",""),"$","")," ",""),"")
)</f>
        <v>4945</v>
      </c>
      <c r="I663" s="1">
        <f t="shared" si="31"/>
        <v>4945</v>
      </c>
      <c r="J663" s="1" t="str">
        <f t="shared" si="32"/>
        <v>Nill</v>
      </c>
      <c r="K663" s="1" t="s">
        <v>12</v>
      </c>
      <c r="L663" s="1" t="s">
        <v>13</v>
      </c>
      <c r="M663" s="1" t="s">
        <v>35</v>
      </c>
      <c r="N663"/>
    </row>
    <row r="664" spans="1:14" x14ac:dyDescent="0.25">
      <c r="A664" s="1" t="s">
        <v>1026</v>
      </c>
      <c r="B664" s="1" t="s">
        <v>135</v>
      </c>
      <c r="C664" s="5">
        <v>44350</v>
      </c>
      <c r="D664" s="6">
        <f t="shared" si="30"/>
        <v>44350</v>
      </c>
      <c r="E664" s="1" t="s">
        <v>11</v>
      </c>
      <c r="F664" s="1" t="s">
        <v>249</v>
      </c>
      <c r="G664" s="1">
        <v>4713</v>
      </c>
      <c r="H664" s="1" cm="1">
        <f t="array" ref="H664">IF(TRIM(G664)="",
   MEDIAN(IFERROR(--SUBSTITUTE(SUBSTITUTE(SUBSTITUTE(SUBSTITUTE(SUBSTITUTE(SUBSTITUTE(G$2:G$747,"Rs.",""),"INR",""),"₹",""),"â‚¹",""),"$","")," ",""),"")),
   IFERROR(--SUBSTITUTE(SUBSTITUTE(SUBSTITUTE(SUBSTITUTE(SUBSTITUTE(SUBSTITUTE(TRIM(G664),"Rs.",""),"INR",""),"₹",""),"â‚¹",""),"$","")," ",""),"")
)</f>
        <v>4713</v>
      </c>
      <c r="I664" s="1">
        <f t="shared" si="31"/>
        <v>4713</v>
      </c>
      <c r="J664" s="1" t="str">
        <f t="shared" si="32"/>
        <v>Nill</v>
      </c>
      <c r="K664" s="1" t="s">
        <v>204</v>
      </c>
      <c r="L664" s="1" t="s">
        <v>81</v>
      </c>
      <c r="M664" s="1" t="s">
        <v>88</v>
      </c>
      <c r="N664"/>
    </row>
    <row r="665" spans="1:14" x14ac:dyDescent="0.25">
      <c r="A665" s="1" t="s">
        <v>968</v>
      </c>
      <c r="B665" s="1" t="s">
        <v>43</v>
      </c>
      <c r="D665" s="6" t="str">
        <f t="shared" si="30"/>
        <v>unknown</v>
      </c>
      <c r="E665" s="1" t="s">
        <v>11</v>
      </c>
      <c r="F665" s="1" t="s">
        <v>69</v>
      </c>
      <c r="G665" s="1">
        <v>4327</v>
      </c>
      <c r="H665" s="1" cm="1">
        <f t="array" ref="H665">IF(TRIM(G665)="",
   MEDIAN(IFERROR(--SUBSTITUTE(SUBSTITUTE(SUBSTITUTE(SUBSTITUTE(SUBSTITUTE(SUBSTITUTE(G$2:G$747,"Rs.",""),"INR",""),"₹",""),"â‚¹",""),"$","")," ",""),"")),
   IFERROR(--SUBSTITUTE(SUBSTITUTE(SUBSTITUTE(SUBSTITUTE(SUBSTITUTE(SUBSTITUTE(TRIM(G665),"Rs.",""),"INR",""),"₹",""),"â‚¹",""),"$","")," ",""),"")
)</f>
        <v>4327</v>
      </c>
      <c r="I665" s="1">
        <f t="shared" si="31"/>
        <v>4327</v>
      </c>
      <c r="J665" s="1" t="str">
        <f t="shared" si="32"/>
        <v>Nill</v>
      </c>
      <c r="K665" s="1" t="s">
        <v>25</v>
      </c>
      <c r="L665" s="1" t="s">
        <v>167</v>
      </c>
      <c r="M665" s="1" t="s">
        <v>252</v>
      </c>
      <c r="N665"/>
    </row>
    <row r="666" spans="1:14" x14ac:dyDescent="0.25">
      <c r="A666" s="1" t="s">
        <v>780</v>
      </c>
      <c r="B666" s="1" t="s">
        <v>464</v>
      </c>
      <c r="C666" s="5">
        <v>45493</v>
      </c>
      <c r="D666" s="6">
        <f t="shared" si="30"/>
        <v>45493</v>
      </c>
      <c r="E666" s="1" t="s">
        <v>11</v>
      </c>
      <c r="F666" s="1" t="s">
        <v>158</v>
      </c>
      <c r="G666" s="1">
        <v>9531</v>
      </c>
      <c r="H666" s="1" cm="1">
        <f t="array" ref="H666">IF(TRIM(G666)="",
   MEDIAN(IFERROR(--SUBSTITUTE(SUBSTITUTE(SUBSTITUTE(SUBSTITUTE(SUBSTITUTE(SUBSTITUTE(G$2:G$747,"Rs.",""),"INR",""),"₹",""),"â‚¹",""),"$","")," ",""),"")),
   IFERROR(--SUBSTITUTE(SUBSTITUTE(SUBSTITUTE(SUBSTITUTE(SUBSTITUTE(SUBSTITUTE(TRIM(G666),"Rs.",""),"INR",""),"₹",""),"â‚¹",""),"$","")," ",""),"")
)</f>
        <v>9531</v>
      </c>
      <c r="I666" s="1">
        <f t="shared" si="31"/>
        <v>9531</v>
      </c>
      <c r="J666" s="1" t="str">
        <f t="shared" si="32"/>
        <v>Nill</v>
      </c>
      <c r="K666" s="1" t="s">
        <v>48</v>
      </c>
      <c r="L666" s="1" t="s">
        <v>40</v>
      </c>
      <c r="M666" s="1" t="s">
        <v>54</v>
      </c>
      <c r="N666"/>
    </row>
    <row r="667" spans="1:14" x14ac:dyDescent="0.25">
      <c r="A667" s="1" t="s">
        <v>945</v>
      </c>
      <c r="B667" s="1" t="s">
        <v>576</v>
      </c>
      <c r="C667" s="1" t="s">
        <v>946</v>
      </c>
      <c r="D667" s="6">
        <f t="shared" si="30"/>
        <v>44340</v>
      </c>
      <c r="E667" s="1" t="s">
        <v>11</v>
      </c>
      <c r="F667" s="1" t="s">
        <v>85</v>
      </c>
      <c r="G667" s="1">
        <v>9694</v>
      </c>
      <c r="H667" s="1" cm="1">
        <f t="array" ref="H667">IF(TRIM(G667)="",
   MEDIAN(IFERROR(--SUBSTITUTE(SUBSTITUTE(SUBSTITUTE(SUBSTITUTE(SUBSTITUTE(SUBSTITUTE(G$2:G$747,"Rs.",""),"INR",""),"₹",""),"â‚¹",""),"$","")," ",""),"")),
   IFERROR(--SUBSTITUTE(SUBSTITUTE(SUBSTITUTE(SUBSTITUTE(SUBSTITUTE(SUBSTITUTE(TRIM(G667),"Rs.",""),"INR",""),"₹",""),"â‚¹",""),"$","")," ",""),"")
)</f>
        <v>9694</v>
      </c>
      <c r="I667" s="1">
        <f t="shared" si="31"/>
        <v>9694</v>
      </c>
      <c r="J667" s="1" t="str">
        <f t="shared" si="32"/>
        <v>Nill</v>
      </c>
      <c r="K667" s="1" t="s">
        <v>204</v>
      </c>
      <c r="L667" s="1" t="s">
        <v>97</v>
      </c>
      <c r="M667" s="1" t="s">
        <v>82</v>
      </c>
      <c r="N667"/>
    </row>
    <row r="668" spans="1:14" x14ac:dyDescent="0.25">
      <c r="A668" s="1" t="s">
        <v>256</v>
      </c>
      <c r="B668" s="1" t="s">
        <v>119</v>
      </c>
      <c r="C668" s="1" t="s">
        <v>257</v>
      </c>
      <c r="D668" s="6">
        <f t="shared" si="30"/>
        <v>45610</v>
      </c>
      <c r="E668" s="1" t="s">
        <v>11</v>
      </c>
      <c r="F668" s="1" t="s">
        <v>104</v>
      </c>
      <c r="G668" s="1">
        <v>1800</v>
      </c>
      <c r="H668" s="1" cm="1">
        <f t="array" ref="H668">IF(TRIM(G668)="",
   MEDIAN(IFERROR(--SUBSTITUTE(SUBSTITUTE(SUBSTITUTE(SUBSTITUTE(SUBSTITUTE(SUBSTITUTE(G$2:G$747,"Rs.",""),"INR",""),"₹",""),"â‚¹",""),"$","")," ",""),"")),
   IFERROR(--SUBSTITUTE(SUBSTITUTE(SUBSTITUTE(SUBSTITUTE(SUBSTITUTE(SUBSTITUTE(TRIM(G668),"Rs.",""),"INR",""),"₹",""),"â‚¹",""),"$","")," ",""),"")
)</f>
        <v>1800</v>
      </c>
      <c r="I668" s="1">
        <f t="shared" si="31"/>
        <v>1800</v>
      </c>
      <c r="J668" s="1" t="str">
        <f t="shared" si="32"/>
        <v>Nill</v>
      </c>
      <c r="K668" s="1" t="s">
        <v>25</v>
      </c>
      <c r="L668" s="1" t="s">
        <v>13</v>
      </c>
      <c r="M668" s="1" t="s">
        <v>122</v>
      </c>
      <c r="N668"/>
    </row>
    <row r="669" spans="1:14" x14ac:dyDescent="0.25">
      <c r="A669" s="1" t="s">
        <v>599</v>
      </c>
      <c r="B669" s="1" t="s">
        <v>522</v>
      </c>
      <c r="C669" s="5">
        <v>45371</v>
      </c>
      <c r="D669" s="6">
        <f t="shared" si="30"/>
        <v>45371</v>
      </c>
      <c r="E669" s="1" t="s">
        <v>11</v>
      </c>
      <c r="F669" s="1" t="s">
        <v>249</v>
      </c>
      <c r="G669" s="1">
        <v>2288</v>
      </c>
      <c r="H669" s="1" cm="1">
        <f t="array" ref="H669">IF(TRIM(G669)="",
   MEDIAN(IFERROR(--SUBSTITUTE(SUBSTITUTE(SUBSTITUTE(SUBSTITUTE(SUBSTITUTE(SUBSTITUTE(G$2:G$747,"Rs.",""),"INR",""),"₹",""),"â‚¹",""),"$","")," ",""),"")),
   IFERROR(--SUBSTITUTE(SUBSTITUTE(SUBSTITUTE(SUBSTITUTE(SUBSTITUTE(SUBSTITUTE(TRIM(G669),"Rs.",""),"INR",""),"₹",""),"â‚¹",""),"$","")," ",""),"")
)</f>
        <v>2288</v>
      </c>
      <c r="I669" s="1">
        <f t="shared" si="31"/>
        <v>2288</v>
      </c>
      <c r="J669" s="1" t="str">
        <f t="shared" si="32"/>
        <v>Nill</v>
      </c>
      <c r="K669" s="1" t="s">
        <v>53</v>
      </c>
      <c r="L669" s="1" t="s">
        <v>217</v>
      </c>
      <c r="M669" s="1" t="s">
        <v>1253</v>
      </c>
      <c r="N669"/>
    </row>
    <row r="670" spans="1:14" x14ac:dyDescent="0.25">
      <c r="A670" s="1" t="s">
        <v>510</v>
      </c>
      <c r="B670" s="1" t="s">
        <v>115</v>
      </c>
      <c r="C670" s="5">
        <v>44961</v>
      </c>
      <c r="D670" s="6">
        <f t="shared" si="30"/>
        <v>44961</v>
      </c>
      <c r="E670" s="1" t="s">
        <v>11</v>
      </c>
      <c r="F670" s="1" t="s">
        <v>465</v>
      </c>
      <c r="G670" s="1">
        <v>2143</v>
      </c>
      <c r="H670" s="1" cm="1">
        <f t="array" ref="H670">IF(TRIM(G670)="",
   MEDIAN(IFERROR(--SUBSTITUTE(SUBSTITUTE(SUBSTITUTE(SUBSTITUTE(SUBSTITUTE(SUBSTITUTE(G$2:G$747,"Rs.",""),"INR",""),"₹",""),"â‚¹",""),"$","")," ",""),"")),
   IFERROR(--SUBSTITUTE(SUBSTITUTE(SUBSTITUTE(SUBSTITUTE(SUBSTITUTE(SUBSTITUTE(TRIM(G670),"Rs.",""),"INR",""),"₹",""),"â‚¹",""),"$","")," ",""),"")
)</f>
        <v>2143</v>
      </c>
      <c r="I670" s="1">
        <f t="shared" si="31"/>
        <v>2143</v>
      </c>
      <c r="J670" s="1" t="str">
        <f t="shared" si="32"/>
        <v>Nill</v>
      </c>
      <c r="K670" s="1" t="s">
        <v>110</v>
      </c>
      <c r="L670" s="1" t="s">
        <v>127</v>
      </c>
      <c r="M670" s="1" t="s">
        <v>1253</v>
      </c>
      <c r="N670"/>
    </row>
    <row r="671" spans="1:14" x14ac:dyDescent="0.25">
      <c r="A671" s="1" t="s">
        <v>270</v>
      </c>
      <c r="B671" s="1" t="s">
        <v>126</v>
      </c>
      <c r="C671" s="1" t="s">
        <v>271</v>
      </c>
      <c r="D671" s="6">
        <f t="shared" si="30"/>
        <v>45655</v>
      </c>
      <c r="E671" s="1" t="s">
        <v>11</v>
      </c>
      <c r="F671" s="1" t="s">
        <v>85</v>
      </c>
      <c r="G671" s="1" t="s">
        <v>272</v>
      </c>
      <c r="H671" s="1" cm="1">
        <f t="array" ref="H671">IF(TRIM(G671)="",
   MEDIAN(IFERROR(--SUBSTITUTE(SUBSTITUTE(SUBSTITUTE(SUBSTITUTE(SUBSTITUTE(SUBSTITUTE(G$2:G$747,"Rs.",""),"INR",""),"₹",""),"â‚¹",""),"$","")," ",""),"")),
   IFERROR(--SUBSTITUTE(SUBSTITUTE(SUBSTITUTE(SUBSTITUTE(SUBSTITUTE(SUBSTITUTE(TRIM(G671),"Rs.",""),"INR",""),"₹",""),"â‚¹",""),"$","")," ",""),"")
)</f>
        <v>9705</v>
      </c>
      <c r="I671" s="1">
        <f t="shared" si="31"/>
        <v>9705</v>
      </c>
      <c r="J671" s="1" t="str">
        <f t="shared" si="32"/>
        <v>Nill</v>
      </c>
      <c r="K671" s="1" t="s">
        <v>261</v>
      </c>
      <c r="L671" s="1" t="s">
        <v>1252</v>
      </c>
      <c r="M671" s="1" t="s">
        <v>82</v>
      </c>
      <c r="N671"/>
    </row>
    <row r="672" spans="1:14" x14ac:dyDescent="0.25">
      <c r="A672" s="1" t="s">
        <v>808</v>
      </c>
      <c r="B672" s="1" t="s">
        <v>236</v>
      </c>
      <c r="C672" s="5">
        <v>45301</v>
      </c>
      <c r="D672" s="6">
        <f t="shared" si="30"/>
        <v>45301</v>
      </c>
      <c r="E672" s="1" t="s">
        <v>11</v>
      </c>
      <c r="F672" s="1" t="s">
        <v>85</v>
      </c>
      <c r="G672" s="1">
        <v>552</v>
      </c>
      <c r="H672" s="1" cm="1">
        <f t="array" ref="H672">IF(TRIM(G672)="",
   MEDIAN(IFERROR(--SUBSTITUTE(SUBSTITUTE(SUBSTITUTE(SUBSTITUTE(SUBSTITUTE(SUBSTITUTE(G$2:G$747,"Rs.",""),"INR",""),"₹",""),"â‚¹",""),"$","")," ",""),"")),
   IFERROR(--SUBSTITUTE(SUBSTITUTE(SUBSTITUTE(SUBSTITUTE(SUBSTITUTE(SUBSTITUTE(TRIM(G672),"Rs.",""),"INR",""),"₹",""),"â‚¹",""),"$","")," ",""),"")
)</f>
        <v>552</v>
      </c>
      <c r="I672" s="1">
        <f t="shared" si="31"/>
        <v>552</v>
      </c>
      <c r="J672" s="1" t="str">
        <f t="shared" si="32"/>
        <v>Nill</v>
      </c>
      <c r="K672" s="1" t="s">
        <v>12</v>
      </c>
      <c r="L672" s="1" t="s">
        <v>127</v>
      </c>
      <c r="M672" s="1" t="s">
        <v>179</v>
      </c>
      <c r="N672"/>
    </row>
    <row r="673" spans="1:14" x14ac:dyDescent="0.25">
      <c r="A673" s="1" t="s">
        <v>681</v>
      </c>
      <c r="B673" s="1" t="s">
        <v>24</v>
      </c>
      <c r="C673" s="5">
        <v>45485</v>
      </c>
      <c r="D673" s="6">
        <f t="shared" si="30"/>
        <v>45485</v>
      </c>
      <c r="E673" s="1" t="s">
        <v>11</v>
      </c>
      <c r="F673" s="1" t="s">
        <v>171</v>
      </c>
      <c r="G673" s="1" t="s">
        <v>682</v>
      </c>
      <c r="H673" s="1" cm="1">
        <f t="array" ref="H673">IF(TRIM(G673)="",
   MEDIAN(IFERROR(--SUBSTITUTE(SUBSTITUTE(SUBSTITUTE(SUBSTITUTE(SUBSTITUTE(SUBSTITUTE(G$2:G$747,"Rs.",""),"INR",""),"₹",""),"â‚¹",""),"$","")," ",""),"")),
   IFERROR(--SUBSTITUTE(SUBSTITUTE(SUBSTITUTE(SUBSTITUTE(SUBSTITUTE(SUBSTITUTE(TRIM(G673),"Rs.",""),"INR",""),"₹",""),"â‚¹",""),"$","")," ",""),"")
)</f>
        <v>9944</v>
      </c>
      <c r="I673" s="1">
        <f t="shared" si="31"/>
        <v>9944</v>
      </c>
      <c r="J673" s="1" t="str">
        <f t="shared" si="32"/>
        <v>Nill</v>
      </c>
      <c r="K673" s="1" t="s">
        <v>53</v>
      </c>
      <c r="L673" s="1" t="s">
        <v>127</v>
      </c>
      <c r="M673" s="1" t="s">
        <v>82</v>
      </c>
      <c r="N673"/>
    </row>
    <row r="674" spans="1:14" x14ac:dyDescent="0.25">
      <c r="A674" s="1" t="s">
        <v>1134</v>
      </c>
      <c r="B674" s="1" t="s">
        <v>334</v>
      </c>
      <c r="C674" s="5">
        <v>45648</v>
      </c>
      <c r="D674" s="6">
        <f t="shared" si="30"/>
        <v>45648</v>
      </c>
      <c r="E674" s="1" t="s">
        <v>11</v>
      </c>
      <c r="F674" s="1" t="s">
        <v>1253</v>
      </c>
      <c r="G674" s="1" t="s">
        <v>1135</v>
      </c>
      <c r="H674" s="1" cm="1">
        <f t="array" ref="H674">IF(TRIM(G674)="",
   MEDIAN(IFERROR(--SUBSTITUTE(SUBSTITUTE(SUBSTITUTE(SUBSTITUTE(SUBSTITUTE(SUBSTITUTE(G$2:G$747,"Rs.",""),"INR",""),"₹",""),"â‚¹",""),"$","")," ",""),"")),
   IFERROR(--SUBSTITUTE(SUBSTITUTE(SUBSTITUTE(SUBSTITUTE(SUBSTITUTE(SUBSTITUTE(TRIM(G674),"Rs.",""),"INR",""),"₹",""),"â‚¹",""),"$","")," ",""),"")
)</f>
        <v>2837</v>
      </c>
      <c r="I674" s="1">
        <f t="shared" si="31"/>
        <v>2837</v>
      </c>
      <c r="J674" s="1" t="str">
        <f t="shared" si="32"/>
        <v>Nill</v>
      </c>
      <c r="K674" s="1" t="s">
        <v>75</v>
      </c>
      <c r="L674" s="1" t="s">
        <v>167</v>
      </c>
      <c r="M674" s="1" t="s">
        <v>1253</v>
      </c>
      <c r="N674"/>
    </row>
    <row r="675" spans="1:14" x14ac:dyDescent="0.25">
      <c r="A675" s="1" t="s">
        <v>503</v>
      </c>
      <c r="B675" s="1" t="s">
        <v>80</v>
      </c>
      <c r="C675" s="5">
        <v>44985</v>
      </c>
      <c r="D675" s="6">
        <f t="shared" si="30"/>
        <v>44985</v>
      </c>
      <c r="E675" s="1" t="s">
        <v>11</v>
      </c>
      <c r="F675" s="1" t="s">
        <v>85</v>
      </c>
      <c r="G675" s="1">
        <v>330</v>
      </c>
      <c r="H675" s="1" cm="1">
        <f t="array" ref="H675">IF(TRIM(G675)="",
   MEDIAN(IFERROR(--SUBSTITUTE(SUBSTITUTE(SUBSTITUTE(SUBSTITUTE(SUBSTITUTE(SUBSTITUTE(G$2:G$747,"Rs.",""),"INR",""),"₹",""),"â‚¹",""),"$","")," ",""),"")),
   IFERROR(--SUBSTITUTE(SUBSTITUTE(SUBSTITUTE(SUBSTITUTE(SUBSTITUTE(SUBSTITUTE(TRIM(G675),"Rs.",""),"INR",""),"₹",""),"â‚¹",""),"$","")," ",""),"")
)</f>
        <v>330</v>
      </c>
      <c r="I675" s="1">
        <f t="shared" si="31"/>
        <v>330</v>
      </c>
      <c r="J675" s="1" t="str">
        <f t="shared" si="32"/>
        <v>Nill</v>
      </c>
      <c r="K675" s="1" t="s">
        <v>25</v>
      </c>
      <c r="L675" s="1" t="s">
        <v>299</v>
      </c>
      <c r="M675" s="1" t="s">
        <v>1253</v>
      </c>
      <c r="N675"/>
    </row>
    <row r="676" spans="1:14" x14ac:dyDescent="0.25">
      <c r="A676" s="1" t="s">
        <v>194</v>
      </c>
      <c r="B676" s="1" t="s">
        <v>195</v>
      </c>
      <c r="C676" s="5">
        <v>45498</v>
      </c>
      <c r="D676" s="6">
        <f t="shared" si="30"/>
        <v>45498</v>
      </c>
      <c r="E676" s="1" t="s">
        <v>11</v>
      </c>
      <c r="F676" s="1" t="s">
        <v>69</v>
      </c>
      <c r="G676" s="1">
        <v>4277</v>
      </c>
      <c r="H676" s="1" cm="1">
        <f t="array" ref="H676">IF(TRIM(G676)="",
   MEDIAN(IFERROR(--SUBSTITUTE(SUBSTITUTE(SUBSTITUTE(SUBSTITUTE(SUBSTITUTE(SUBSTITUTE(G$2:G$747,"Rs.",""),"INR",""),"₹",""),"â‚¹",""),"$","")," ",""),"")),
   IFERROR(--SUBSTITUTE(SUBSTITUTE(SUBSTITUTE(SUBSTITUTE(SUBSTITUTE(SUBSTITUTE(TRIM(G676),"Rs.",""),"INR",""),"₹",""),"â‚¹",""),"$","")," ",""),"")
)</f>
        <v>4277</v>
      </c>
      <c r="I676" s="1">
        <f t="shared" si="31"/>
        <v>4277</v>
      </c>
      <c r="J676" s="1" t="str">
        <f t="shared" si="32"/>
        <v>Nill</v>
      </c>
      <c r="K676" s="1" t="s">
        <v>12</v>
      </c>
      <c r="L676" s="1" t="s">
        <v>167</v>
      </c>
      <c r="M676" s="1" t="s">
        <v>133</v>
      </c>
      <c r="N676"/>
    </row>
    <row r="677" spans="1:14" x14ac:dyDescent="0.25">
      <c r="A677" s="1" t="s">
        <v>1145</v>
      </c>
      <c r="B677" s="1" t="s">
        <v>1016</v>
      </c>
      <c r="C677" s="5">
        <v>45303</v>
      </c>
      <c r="D677" s="6">
        <f t="shared" si="30"/>
        <v>45303</v>
      </c>
      <c r="E677" s="1" t="s">
        <v>20</v>
      </c>
      <c r="F677" s="1" t="s">
        <v>44</v>
      </c>
      <c r="G677" s="1">
        <v>37665</v>
      </c>
      <c r="H677" s="1" cm="1">
        <f t="array" ref="H677">IF(TRIM(G677)="",
   MEDIAN(IFERROR(--SUBSTITUTE(SUBSTITUTE(SUBSTITUTE(SUBSTITUTE(SUBSTITUTE(SUBSTITUTE(G$2:G$747,"Rs.",""),"INR",""),"₹",""),"â‚¹",""),"$","")," ",""),"")),
   IFERROR(--SUBSTITUTE(SUBSTITUTE(SUBSTITUTE(SUBSTITUTE(SUBSTITUTE(SUBSTITUTE(TRIM(G677),"Rs.",""),"INR",""),"₹",""),"â‚¹",""),"$","")," ",""),"")
)</f>
        <v>37665</v>
      </c>
      <c r="I677" s="1" t="str">
        <f t="shared" si="31"/>
        <v>Nill</v>
      </c>
      <c r="J677" s="1">
        <f t="shared" si="32"/>
        <v>37665</v>
      </c>
      <c r="K677" s="1" t="s">
        <v>53</v>
      </c>
      <c r="L677" s="1" t="s">
        <v>81</v>
      </c>
      <c r="M677" s="1" t="s">
        <v>255</v>
      </c>
      <c r="N677"/>
    </row>
    <row r="678" spans="1:14" x14ac:dyDescent="0.25">
      <c r="A678" s="1" t="s">
        <v>594</v>
      </c>
      <c r="B678" s="1" t="s">
        <v>522</v>
      </c>
      <c r="C678" s="5">
        <v>44370</v>
      </c>
      <c r="D678" s="6">
        <f t="shared" si="30"/>
        <v>44370</v>
      </c>
      <c r="E678" s="1" t="s">
        <v>11</v>
      </c>
      <c r="F678" s="1" t="s">
        <v>30</v>
      </c>
      <c r="G678" s="1">
        <v>237</v>
      </c>
      <c r="H678" s="1" cm="1">
        <f t="array" ref="H678">IF(TRIM(G678)="",
   MEDIAN(IFERROR(--SUBSTITUTE(SUBSTITUTE(SUBSTITUTE(SUBSTITUTE(SUBSTITUTE(SUBSTITUTE(G$2:G$747,"Rs.",""),"INR",""),"₹",""),"â‚¹",""),"$","")," ",""),"")),
   IFERROR(--SUBSTITUTE(SUBSTITUTE(SUBSTITUTE(SUBSTITUTE(SUBSTITUTE(SUBSTITUTE(TRIM(G678),"Rs.",""),"INR",""),"₹",""),"â‚¹",""),"$","")," ",""),"")
)</f>
        <v>237</v>
      </c>
      <c r="I678" s="1">
        <f t="shared" si="31"/>
        <v>237</v>
      </c>
      <c r="J678" s="1" t="str">
        <f t="shared" si="32"/>
        <v>Nill</v>
      </c>
      <c r="K678" s="1" t="s">
        <v>25</v>
      </c>
      <c r="L678" s="1" t="s">
        <v>97</v>
      </c>
      <c r="M678" s="1" t="s">
        <v>210</v>
      </c>
      <c r="N678"/>
    </row>
    <row r="679" spans="1:14" x14ac:dyDescent="0.25">
      <c r="A679" s="1" t="s">
        <v>987</v>
      </c>
      <c r="B679" s="1" t="s">
        <v>988</v>
      </c>
      <c r="C679" s="1" t="s">
        <v>989</v>
      </c>
      <c r="D679" s="6">
        <f t="shared" si="30"/>
        <v>45559</v>
      </c>
      <c r="E679" s="1" t="s">
        <v>20</v>
      </c>
      <c r="F679" s="1" t="s">
        <v>239</v>
      </c>
      <c r="G679" s="1" t="s">
        <v>990</v>
      </c>
      <c r="H679" s="1" cm="1">
        <f t="array" ref="H679">IF(TRIM(G679)="",
   MEDIAN(IFERROR(--SUBSTITUTE(SUBSTITUTE(SUBSTITUTE(SUBSTITUTE(SUBSTITUTE(SUBSTITUTE(G$2:G$747,"Rs.",""),"INR",""),"₹",""),"â‚¹",""),"$","")," ",""),"")),
   IFERROR(--SUBSTITUTE(SUBSTITUTE(SUBSTITUTE(SUBSTITUTE(SUBSTITUTE(SUBSTITUTE(TRIM(G679),"Rs.",""),"INR",""),"₹",""),"â‚¹",""),"$","")," ",""),"")
)</f>
        <v>46784</v>
      </c>
      <c r="I679" s="1" t="str">
        <f t="shared" si="31"/>
        <v>Nill</v>
      </c>
      <c r="J679" s="1">
        <f t="shared" si="32"/>
        <v>46784</v>
      </c>
      <c r="K679" s="1" t="s">
        <v>138</v>
      </c>
      <c r="L679" s="1" t="s">
        <v>1252</v>
      </c>
      <c r="M679" s="1" t="s">
        <v>117</v>
      </c>
      <c r="N679"/>
    </row>
    <row r="680" spans="1:14" x14ac:dyDescent="0.25">
      <c r="A680" s="1" t="s">
        <v>672</v>
      </c>
      <c r="B680" s="1" t="s">
        <v>115</v>
      </c>
      <c r="C680" s="5">
        <v>45119</v>
      </c>
      <c r="D680" s="6">
        <f t="shared" si="30"/>
        <v>45119</v>
      </c>
      <c r="E680" s="1" t="s">
        <v>11</v>
      </c>
      <c r="F680" s="1" t="s">
        <v>69</v>
      </c>
      <c r="G680" s="1" t="s">
        <v>673</v>
      </c>
      <c r="H680" s="1" cm="1">
        <f t="array" ref="H680">IF(TRIM(G680)="",
   MEDIAN(IFERROR(--SUBSTITUTE(SUBSTITUTE(SUBSTITUTE(SUBSTITUTE(SUBSTITUTE(SUBSTITUTE(G$2:G$747,"Rs.",""),"INR",""),"₹",""),"â‚¹",""),"$","")," ",""),"")),
   IFERROR(--SUBSTITUTE(SUBSTITUTE(SUBSTITUTE(SUBSTITUTE(SUBSTITUTE(SUBSTITUTE(TRIM(G680),"Rs.",""),"INR",""),"₹",""),"â‚¹",""),"$","")," ",""),"")
)</f>
        <v>8641</v>
      </c>
      <c r="I680" s="1">
        <f t="shared" si="31"/>
        <v>8641</v>
      </c>
      <c r="J680" s="1" t="str">
        <f t="shared" si="32"/>
        <v>Nill</v>
      </c>
      <c r="K680" s="1" t="s">
        <v>110</v>
      </c>
      <c r="L680" s="1" t="s">
        <v>17</v>
      </c>
      <c r="M680" s="1" t="s">
        <v>1253</v>
      </c>
      <c r="N680"/>
    </row>
    <row r="681" spans="1:14" x14ac:dyDescent="0.25">
      <c r="A681" s="1" t="s">
        <v>672</v>
      </c>
      <c r="B681" s="1" t="s">
        <v>359</v>
      </c>
      <c r="C681" s="5">
        <v>44331</v>
      </c>
      <c r="D681" s="6">
        <f t="shared" si="30"/>
        <v>44331</v>
      </c>
      <c r="E681" s="1" t="s">
        <v>11</v>
      </c>
      <c r="F681" s="1" t="s">
        <v>171</v>
      </c>
      <c r="G681" s="1">
        <v>5549</v>
      </c>
      <c r="H681" s="1" cm="1">
        <f t="array" ref="H681">IF(TRIM(G681)="",
   MEDIAN(IFERROR(--SUBSTITUTE(SUBSTITUTE(SUBSTITUTE(SUBSTITUTE(SUBSTITUTE(SUBSTITUTE(G$2:G$747,"Rs.",""),"INR",""),"₹",""),"â‚¹",""),"$","")," ",""),"")),
   IFERROR(--SUBSTITUTE(SUBSTITUTE(SUBSTITUTE(SUBSTITUTE(SUBSTITUTE(SUBSTITUTE(TRIM(G681),"Rs.",""),"INR",""),"₹",""),"â‚¹",""),"$","")," ",""),"")
)</f>
        <v>5549</v>
      </c>
      <c r="I681" s="1">
        <f t="shared" si="31"/>
        <v>5549</v>
      </c>
      <c r="J681" s="1" t="str">
        <f t="shared" si="32"/>
        <v>Nill</v>
      </c>
      <c r="K681" s="1" t="s">
        <v>87</v>
      </c>
      <c r="L681" s="1" t="s">
        <v>1252</v>
      </c>
      <c r="M681" s="1" t="s">
        <v>252</v>
      </c>
      <c r="N681"/>
    </row>
    <row r="682" spans="1:14" x14ac:dyDescent="0.25">
      <c r="A682" s="1" t="s">
        <v>846</v>
      </c>
      <c r="B682" s="1" t="s">
        <v>201</v>
      </c>
      <c r="C682" s="1" t="s">
        <v>847</v>
      </c>
      <c r="D682" s="6">
        <f t="shared" si="30"/>
        <v>45314</v>
      </c>
      <c r="E682" s="1" t="s">
        <v>11</v>
      </c>
      <c r="F682" s="1" t="s">
        <v>249</v>
      </c>
      <c r="G682" s="1">
        <v>7174</v>
      </c>
      <c r="H682" s="1" cm="1">
        <f t="array" ref="H682">IF(TRIM(G682)="",
   MEDIAN(IFERROR(--SUBSTITUTE(SUBSTITUTE(SUBSTITUTE(SUBSTITUTE(SUBSTITUTE(SUBSTITUTE(G$2:G$747,"Rs.",""),"INR",""),"₹",""),"â‚¹",""),"$","")," ",""),"")),
   IFERROR(--SUBSTITUTE(SUBSTITUTE(SUBSTITUTE(SUBSTITUTE(SUBSTITUTE(SUBSTITUTE(TRIM(G682),"Rs.",""),"INR",""),"₹",""),"â‚¹",""),"$","")," ",""),"")
)</f>
        <v>7174</v>
      </c>
      <c r="I682" s="1">
        <f t="shared" si="31"/>
        <v>7174</v>
      </c>
      <c r="J682" s="1" t="str">
        <f t="shared" si="32"/>
        <v>Nill</v>
      </c>
      <c r="K682" s="1" t="s">
        <v>48</v>
      </c>
      <c r="L682" s="1" t="s">
        <v>81</v>
      </c>
      <c r="M682" s="1" t="s">
        <v>179</v>
      </c>
      <c r="N682"/>
    </row>
    <row r="683" spans="1:14" x14ac:dyDescent="0.25">
      <c r="A683" s="1" t="s">
        <v>1143</v>
      </c>
      <c r="B683" s="1" t="s">
        <v>51</v>
      </c>
      <c r="C683" s="5">
        <v>45193</v>
      </c>
      <c r="D683" s="6">
        <f t="shared" si="30"/>
        <v>45193</v>
      </c>
      <c r="E683" s="1" t="s">
        <v>11</v>
      </c>
      <c r="F683" s="1" t="s">
        <v>85</v>
      </c>
      <c r="G683" s="1">
        <v>5649</v>
      </c>
      <c r="H683" s="1" cm="1">
        <f t="array" ref="H683">IF(TRIM(G683)="",
   MEDIAN(IFERROR(--SUBSTITUTE(SUBSTITUTE(SUBSTITUTE(SUBSTITUTE(SUBSTITUTE(SUBSTITUTE(G$2:G$747,"Rs.",""),"INR",""),"₹",""),"â‚¹",""),"$","")," ",""),"")),
   IFERROR(--SUBSTITUTE(SUBSTITUTE(SUBSTITUTE(SUBSTITUTE(SUBSTITUTE(SUBSTITUTE(TRIM(G683),"Rs.",""),"INR",""),"₹",""),"â‚¹",""),"$","")," ",""),"")
)</f>
        <v>5649</v>
      </c>
      <c r="I683" s="1">
        <f t="shared" si="31"/>
        <v>5649</v>
      </c>
      <c r="J683" s="1" t="str">
        <f t="shared" si="32"/>
        <v>Nill</v>
      </c>
      <c r="K683" s="1" t="s">
        <v>25</v>
      </c>
      <c r="L683" s="1" t="s">
        <v>97</v>
      </c>
      <c r="M683" s="1" t="s">
        <v>1253</v>
      </c>
      <c r="N683"/>
    </row>
    <row r="684" spans="1:14" x14ac:dyDescent="0.25">
      <c r="A684" s="1" t="s">
        <v>1101</v>
      </c>
      <c r="B684" s="1" t="s">
        <v>881</v>
      </c>
      <c r="C684" s="1" t="s">
        <v>1102</v>
      </c>
      <c r="D684" s="6">
        <f t="shared" si="30"/>
        <v>45125</v>
      </c>
      <c r="E684" s="1" t="s">
        <v>11</v>
      </c>
      <c r="F684" s="1" t="s">
        <v>85</v>
      </c>
      <c r="G684" s="1">
        <v>5271</v>
      </c>
      <c r="H684" s="1" cm="1">
        <f t="array" ref="H684">IF(TRIM(G684)="",
   MEDIAN(IFERROR(--SUBSTITUTE(SUBSTITUTE(SUBSTITUTE(SUBSTITUTE(SUBSTITUTE(SUBSTITUTE(G$2:G$747,"Rs.",""),"INR",""),"₹",""),"â‚¹",""),"$","")," ",""),"")),
   IFERROR(--SUBSTITUTE(SUBSTITUTE(SUBSTITUTE(SUBSTITUTE(SUBSTITUTE(SUBSTITUTE(TRIM(G684),"Rs.",""),"INR",""),"₹",""),"â‚¹",""),"$","")," ",""),"")
)</f>
        <v>5271</v>
      </c>
      <c r="I684" s="1">
        <f t="shared" si="31"/>
        <v>5271</v>
      </c>
      <c r="J684" s="1" t="str">
        <f t="shared" si="32"/>
        <v>Nill</v>
      </c>
      <c r="K684" s="1" t="s">
        <v>12</v>
      </c>
      <c r="L684" s="1" t="s">
        <v>17</v>
      </c>
      <c r="M684" s="1" t="s">
        <v>1253</v>
      </c>
      <c r="N684"/>
    </row>
    <row r="685" spans="1:14" x14ac:dyDescent="0.25">
      <c r="A685" s="1" t="s">
        <v>677</v>
      </c>
      <c r="B685" s="1" t="s">
        <v>678</v>
      </c>
      <c r="C685" s="5">
        <v>45123</v>
      </c>
      <c r="D685" s="6">
        <f t="shared" si="30"/>
        <v>45123</v>
      </c>
      <c r="E685" s="1" t="s">
        <v>11</v>
      </c>
      <c r="F685" s="1" t="s">
        <v>171</v>
      </c>
      <c r="G685" s="1">
        <v>3221</v>
      </c>
      <c r="H685" s="1" cm="1">
        <f t="array" ref="H685">IF(TRIM(G685)="",
   MEDIAN(IFERROR(--SUBSTITUTE(SUBSTITUTE(SUBSTITUTE(SUBSTITUTE(SUBSTITUTE(SUBSTITUTE(G$2:G$747,"Rs.",""),"INR",""),"₹",""),"â‚¹",""),"$","")," ",""),"")),
   IFERROR(--SUBSTITUTE(SUBSTITUTE(SUBSTITUTE(SUBSTITUTE(SUBSTITUTE(SUBSTITUTE(TRIM(G685),"Rs.",""),"INR",""),"₹",""),"â‚¹",""),"$","")," ",""),"")
)</f>
        <v>3221</v>
      </c>
      <c r="I685" s="1">
        <f t="shared" si="31"/>
        <v>3221</v>
      </c>
      <c r="J685" s="1" t="str">
        <f t="shared" si="32"/>
        <v>Nill</v>
      </c>
      <c r="K685" s="1" t="s">
        <v>172</v>
      </c>
      <c r="L685" s="1" t="s">
        <v>127</v>
      </c>
      <c r="M685" s="1" t="s">
        <v>76</v>
      </c>
      <c r="N685"/>
    </row>
    <row r="686" spans="1:14" x14ac:dyDescent="0.25">
      <c r="A686" s="1" t="s">
        <v>840</v>
      </c>
      <c r="B686" s="1" t="s">
        <v>283</v>
      </c>
      <c r="C686" s="5">
        <v>45325</v>
      </c>
      <c r="D686" s="6">
        <f t="shared" si="30"/>
        <v>45325</v>
      </c>
      <c r="E686" s="1" t="s">
        <v>11</v>
      </c>
      <c r="F686" s="1" t="s">
        <v>249</v>
      </c>
      <c r="G686" s="1">
        <v>8138</v>
      </c>
      <c r="H686" s="1" cm="1">
        <f t="array" ref="H686">IF(TRIM(G686)="",
   MEDIAN(IFERROR(--SUBSTITUTE(SUBSTITUTE(SUBSTITUTE(SUBSTITUTE(SUBSTITUTE(SUBSTITUTE(G$2:G$747,"Rs.",""),"INR",""),"₹",""),"â‚¹",""),"$","")," ",""),"")),
   IFERROR(--SUBSTITUTE(SUBSTITUTE(SUBSTITUTE(SUBSTITUTE(SUBSTITUTE(SUBSTITUTE(TRIM(G686),"Rs.",""),"INR",""),"₹",""),"â‚¹",""),"$","")," ",""),"")
)</f>
        <v>8138</v>
      </c>
      <c r="I686" s="1">
        <f t="shared" si="31"/>
        <v>8138</v>
      </c>
      <c r="J686" s="1" t="str">
        <f t="shared" si="32"/>
        <v>Nill</v>
      </c>
      <c r="K686" s="1" t="s">
        <v>25</v>
      </c>
      <c r="L686" s="1" t="s">
        <v>167</v>
      </c>
      <c r="M686" s="1" t="s">
        <v>252</v>
      </c>
      <c r="N686"/>
    </row>
    <row r="687" spans="1:14" x14ac:dyDescent="0.25">
      <c r="A687" s="1" t="s">
        <v>372</v>
      </c>
      <c r="B687" s="1" t="s">
        <v>295</v>
      </c>
      <c r="C687" s="1" t="s">
        <v>373</v>
      </c>
      <c r="D687" s="6">
        <f t="shared" si="30"/>
        <v>44879</v>
      </c>
      <c r="E687" s="1" t="s">
        <v>11</v>
      </c>
      <c r="F687" s="1" t="s">
        <v>1253</v>
      </c>
      <c r="G687" s="1">
        <v>6348</v>
      </c>
      <c r="H687" s="1" cm="1">
        <f t="array" ref="H687">IF(TRIM(G687)="",
   MEDIAN(IFERROR(--SUBSTITUTE(SUBSTITUTE(SUBSTITUTE(SUBSTITUTE(SUBSTITUTE(SUBSTITUTE(G$2:G$747,"Rs.",""),"INR",""),"₹",""),"â‚¹",""),"$","")," ",""),"")),
   IFERROR(--SUBSTITUTE(SUBSTITUTE(SUBSTITUTE(SUBSTITUTE(SUBSTITUTE(SUBSTITUTE(TRIM(G687),"Rs.",""),"INR",""),"₹",""),"â‚¹",""),"$","")," ",""),"")
)</f>
        <v>6348</v>
      </c>
      <c r="I687" s="1">
        <f t="shared" si="31"/>
        <v>6348</v>
      </c>
      <c r="J687" s="1" t="str">
        <f t="shared" si="32"/>
        <v>Nill</v>
      </c>
      <c r="K687" s="1" t="s">
        <v>12</v>
      </c>
      <c r="L687" s="1" t="s">
        <v>198</v>
      </c>
      <c r="M687" s="1" t="s">
        <v>179</v>
      </c>
      <c r="N687"/>
    </row>
    <row r="688" spans="1:14" x14ac:dyDescent="0.25">
      <c r="A688" s="1" t="s">
        <v>781</v>
      </c>
      <c r="B688" s="1" t="s">
        <v>259</v>
      </c>
      <c r="C688" s="5">
        <v>44870</v>
      </c>
      <c r="D688" s="6">
        <f t="shared" si="30"/>
        <v>44870</v>
      </c>
      <c r="E688" s="1" t="s">
        <v>11</v>
      </c>
      <c r="F688" s="1" t="s">
        <v>249</v>
      </c>
      <c r="G688" s="1" t="s">
        <v>782</v>
      </c>
      <c r="H688" s="1" cm="1">
        <f t="array" ref="H688">IF(TRIM(G688)="",
   MEDIAN(IFERROR(--SUBSTITUTE(SUBSTITUTE(SUBSTITUTE(SUBSTITUTE(SUBSTITUTE(SUBSTITUTE(G$2:G$747,"Rs.",""),"INR",""),"₹",""),"â‚¹",""),"$","")," ",""),"")),
   IFERROR(--SUBSTITUTE(SUBSTITUTE(SUBSTITUTE(SUBSTITUTE(SUBSTITUTE(SUBSTITUTE(TRIM(G688),"Rs.",""),"INR",""),"₹",""),"â‚¹",""),"$","")," ",""),"")
)</f>
        <v>7838</v>
      </c>
      <c r="I688" s="1">
        <f t="shared" si="31"/>
        <v>7838</v>
      </c>
      <c r="J688" s="1" t="str">
        <f t="shared" si="32"/>
        <v>Nill</v>
      </c>
      <c r="K688" s="1" t="s">
        <v>87</v>
      </c>
      <c r="L688" s="1" t="s">
        <v>81</v>
      </c>
      <c r="M688" s="1" t="s">
        <v>26</v>
      </c>
      <c r="N688"/>
    </row>
    <row r="689" spans="1:14" x14ac:dyDescent="0.25">
      <c r="A689" s="1" t="s">
        <v>354</v>
      </c>
      <c r="B689" s="1" t="s">
        <v>355</v>
      </c>
      <c r="C689" s="5">
        <v>44378</v>
      </c>
      <c r="D689" s="6">
        <f t="shared" si="30"/>
        <v>44378</v>
      </c>
      <c r="E689" s="1" t="s">
        <v>11</v>
      </c>
      <c r="F689" s="1" t="s">
        <v>759</v>
      </c>
      <c r="G689" s="1">
        <v>8861</v>
      </c>
      <c r="H689" s="1" cm="1">
        <f t="array" ref="H689">IF(TRIM(G689)="",
   MEDIAN(IFERROR(--SUBSTITUTE(SUBSTITUTE(SUBSTITUTE(SUBSTITUTE(SUBSTITUTE(SUBSTITUTE(G$2:G$747,"Rs.",""),"INR",""),"₹",""),"â‚¹",""),"$","")," ",""),"")),
   IFERROR(--SUBSTITUTE(SUBSTITUTE(SUBSTITUTE(SUBSTITUTE(SUBSTITUTE(SUBSTITUTE(TRIM(G689),"Rs.",""),"INR",""),"₹",""),"â‚¹",""),"$","")," ",""),"")
)</f>
        <v>8861</v>
      </c>
      <c r="I689" s="1">
        <f t="shared" si="31"/>
        <v>8861</v>
      </c>
      <c r="J689" s="1" t="str">
        <f t="shared" si="32"/>
        <v>Nill</v>
      </c>
      <c r="K689" s="1" t="s">
        <v>25</v>
      </c>
      <c r="L689" s="1" t="s">
        <v>167</v>
      </c>
      <c r="M689" s="1" t="s">
        <v>1253</v>
      </c>
      <c r="N689"/>
    </row>
    <row r="690" spans="1:14" x14ac:dyDescent="0.25">
      <c r="A690" s="1" t="s">
        <v>877</v>
      </c>
      <c r="B690" s="1" t="s">
        <v>238</v>
      </c>
      <c r="C690" s="5">
        <v>44842</v>
      </c>
      <c r="D690" s="6">
        <f t="shared" si="30"/>
        <v>44842</v>
      </c>
      <c r="E690" s="1" t="s">
        <v>11</v>
      </c>
      <c r="F690" s="1" t="s">
        <v>69</v>
      </c>
      <c r="G690" s="1">
        <v>9369</v>
      </c>
      <c r="H690" s="1" cm="1">
        <f t="array" ref="H690">IF(TRIM(G690)="",
   MEDIAN(IFERROR(--SUBSTITUTE(SUBSTITUTE(SUBSTITUTE(SUBSTITUTE(SUBSTITUTE(SUBSTITUTE(G$2:G$747,"Rs.",""),"INR",""),"₹",""),"â‚¹",""),"$","")," ",""),"")),
   IFERROR(--SUBSTITUTE(SUBSTITUTE(SUBSTITUTE(SUBSTITUTE(SUBSTITUTE(SUBSTITUTE(TRIM(G690),"Rs.",""),"INR",""),"₹",""),"â‚¹",""),"$","")," ",""),"")
)</f>
        <v>9369</v>
      </c>
      <c r="I690" s="1">
        <f t="shared" si="31"/>
        <v>9369</v>
      </c>
      <c r="J690" s="1" t="str">
        <f t="shared" si="32"/>
        <v>Nill</v>
      </c>
      <c r="K690" s="1" t="s">
        <v>25</v>
      </c>
      <c r="L690" s="1" t="s">
        <v>17</v>
      </c>
      <c r="M690" s="1" t="s">
        <v>49</v>
      </c>
      <c r="N690"/>
    </row>
    <row r="691" spans="1:14" x14ac:dyDescent="0.25">
      <c r="A691" s="1" t="s">
        <v>903</v>
      </c>
      <c r="B691" s="1" t="s">
        <v>416</v>
      </c>
      <c r="C691" s="5">
        <v>45470</v>
      </c>
      <c r="D691" s="6">
        <f t="shared" si="30"/>
        <v>45470</v>
      </c>
      <c r="E691" s="1" t="s">
        <v>11</v>
      </c>
      <c r="F691" s="1" t="s">
        <v>30</v>
      </c>
      <c r="G691" s="1" t="s">
        <v>904</v>
      </c>
      <c r="H691" s="1" cm="1">
        <f t="array" ref="H691">IF(TRIM(G691)="",
   MEDIAN(IFERROR(--SUBSTITUTE(SUBSTITUTE(SUBSTITUTE(SUBSTITUTE(SUBSTITUTE(SUBSTITUTE(G$2:G$747,"Rs.",""),"INR",""),"₹",""),"â‚¹",""),"$","")," ",""),"")),
   IFERROR(--SUBSTITUTE(SUBSTITUTE(SUBSTITUTE(SUBSTITUTE(SUBSTITUTE(SUBSTITUTE(TRIM(G691),"Rs.",""),"INR",""),"₹",""),"â‚¹",""),"$","")," ",""),"")
)</f>
        <v>9883</v>
      </c>
      <c r="I691" s="1">
        <f t="shared" si="31"/>
        <v>9883</v>
      </c>
      <c r="J691" s="1" t="str">
        <f t="shared" si="32"/>
        <v>Nill</v>
      </c>
      <c r="K691" s="1" t="s">
        <v>261</v>
      </c>
      <c r="L691" s="1" t="s">
        <v>299</v>
      </c>
      <c r="M691" s="1" t="s">
        <v>1253</v>
      </c>
      <c r="N691"/>
    </row>
    <row r="692" spans="1:14" x14ac:dyDescent="0.25">
      <c r="A692" s="1" t="s">
        <v>517</v>
      </c>
      <c r="B692" s="1" t="s">
        <v>340</v>
      </c>
      <c r="C692" s="5">
        <v>44847</v>
      </c>
      <c r="D692" s="6">
        <f t="shared" si="30"/>
        <v>44847</v>
      </c>
      <c r="E692" s="1" t="s">
        <v>11</v>
      </c>
      <c r="F692" s="1" t="s">
        <v>30</v>
      </c>
      <c r="G692" s="1" t="s">
        <v>518</v>
      </c>
      <c r="H692" s="1" cm="1">
        <f t="array" ref="H692">IF(TRIM(G692)="",
   MEDIAN(IFERROR(--SUBSTITUTE(SUBSTITUTE(SUBSTITUTE(SUBSTITUTE(SUBSTITUTE(SUBSTITUTE(G$2:G$747,"Rs.",""),"INR",""),"₹",""),"â‚¹",""),"$","")," ",""),"")),
   IFERROR(--SUBSTITUTE(SUBSTITUTE(SUBSTITUTE(SUBSTITUTE(SUBSTITUTE(SUBSTITUTE(TRIM(G692),"Rs.",""),"INR",""),"₹",""),"â‚¹",""),"$","")," ",""),"")
)</f>
        <v>4719</v>
      </c>
      <c r="I692" s="1">
        <f t="shared" si="31"/>
        <v>4719</v>
      </c>
      <c r="J692" s="1" t="str">
        <f t="shared" si="32"/>
        <v>Nill</v>
      </c>
      <c r="K692" s="1" t="s">
        <v>12</v>
      </c>
      <c r="L692" s="1" t="s">
        <v>198</v>
      </c>
      <c r="M692" s="1" t="s">
        <v>113</v>
      </c>
      <c r="N692"/>
    </row>
    <row r="693" spans="1:14" x14ac:dyDescent="0.25">
      <c r="A693" s="1" t="s">
        <v>544</v>
      </c>
      <c r="B693" s="1" t="s">
        <v>28</v>
      </c>
      <c r="C693" s="5">
        <v>45601</v>
      </c>
      <c r="D693" s="6">
        <f t="shared" si="30"/>
        <v>45601</v>
      </c>
      <c r="E693" s="1" t="s">
        <v>11</v>
      </c>
      <c r="F693" s="1" t="s">
        <v>1253</v>
      </c>
      <c r="G693" s="1">
        <v>3825</v>
      </c>
      <c r="H693" s="1" cm="1">
        <f t="array" ref="H693">IF(TRIM(G693)="",
   MEDIAN(IFERROR(--SUBSTITUTE(SUBSTITUTE(SUBSTITUTE(SUBSTITUTE(SUBSTITUTE(SUBSTITUTE(G$2:G$747,"Rs.",""),"INR",""),"₹",""),"â‚¹",""),"$","")," ",""),"")),
   IFERROR(--SUBSTITUTE(SUBSTITUTE(SUBSTITUTE(SUBSTITUTE(SUBSTITUTE(SUBSTITUTE(TRIM(G693),"Rs.",""),"INR",""),"₹",""),"â‚¹",""),"$","")," ",""),"")
)</f>
        <v>3825</v>
      </c>
      <c r="I693" s="1">
        <f t="shared" si="31"/>
        <v>3825</v>
      </c>
      <c r="J693" s="1" t="str">
        <f t="shared" si="32"/>
        <v>Nill</v>
      </c>
      <c r="K693" s="1" t="s">
        <v>261</v>
      </c>
      <c r="L693" s="1" t="s">
        <v>81</v>
      </c>
      <c r="M693" s="1" t="s">
        <v>1253</v>
      </c>
      <c r="N693"/>
    </row>
    <row r="694" spans="1:14" x14ac:dyDescent="0.25">
      <c r="A694" s="1" t="s">
        <v>762</v>
      </c>
      <c r="B694" s="1" t="s">
        <v>487</v>
      </c>
      <c r="C694" s="5">
        <v>44335</v>
      </c>
      <c r="D694" s="6">
        <f t="shared" si="30"/>
        <v>44335</v>
      </c>
      <c r="E694" s="1" t="s">
        <v>11</v>
      </c>
      <c r="F694" s="1" t="s">
        <v>85</v>
      </c>
      <c r="G694" s="1">
        <v>1115</v>
      </c>
      <c r="H694" s="1" cm="1">
        <f t="array" ref="H694">IF(TRIM(G694)="",
   MEDIAN(IFERROR(--SUBSTITUTE(SUBSTITUTE(SUBSTITUTE(SUBSTITUTE(SUBSTITUTE(SUBSTITUTE(G$2:G$747,"Rs.",""),"INR",""),"₹",""),"â‚¹",""),"$","")," ",""),"")),
   IFERROR(--SUBSTITUTE(SUBSTITUTE(SUBSTITUTE(SUBSTITUTE(SUBSTITUTE(SUBSTITUTE(TRIM(G694),"Rs.",""),"INR",""),"₹",""),"â‚¹",""),"$","")," ",""),"")
)</f>
        <v>1115</v>
      </c>
      <c r="I694" s="1">
        <f t="shared" si="31"/>
        <v>1115</v>
      </c>
      <c r="J694" s="1" t="str">
        <f t="shared" si="32"/>
        <v>Nill</v>
      </c>
      <c r="K694" s="1" t="s">
        <v>12</v>
      </c>
      <c r="L694" s="1" t="s">
        <v>81</v>
      </c>
      <c r="M694" s="1" t="s">
        <v>122</v>
      </c>
      <c r="N694"/>
    </row>
    <row r="695" spans="1:14" x14ac:dyDescent="0.25">
      <c r="A695" s="1" t="s">
        <v>604</v>
      </c>
      <c r="B695" s="1" t="s">
        <v>279</v>
      </c>
      <c r="C695" s="5">
        <v>45001</v>
      </c>
      <c r="D695" s="6">
        <f t="shared" si="30"/>
        <v>45001</v>
      </c>
      <c r="E695" s="1" t="s">
        <v>20</v>
      </c>
      <c r="F695" s="1" t="s">
        <v>52</v>
      </c>
      <c r="G695" s="1">
        <v>41720</v>
      </c>
      <c r="H695" s="1" cm="1">
        <f t="array" ref="H695">IF(TRIM(G695)="",
   MEDIAN(IFERROR(--SUBSTITUTE(SUBSTITUTE(SUBSTITUTE(SUBSTITUTE(SUBSTITUTE(SUBSTITUTE(G$2:G$747,"Rs.",""),"INR",""),"₹",""),"â‚¹",""),"$","")," ",""),"")),
   IFERROR(--SUBSTITUTE(SUBSTITUTE(SUBSTITUTE(SUBSTITUTE(SUBSTITUTE(SUBSTITUTE(TRIM(G695),"Rs.",""),"INR",""),"₹",""),"â‚¹",""),"$","")," ",""),"")
)</f>
        <v>41720</v>
      </c>
      <c r="I695" s="1" t="str">
        <f t="shared" si="31"/>
        <v>Nill</v>
      </c>
      <c r="J695" s="1">
        <f t="shared" si="32"/>
        <v>41720</v>
      </c>
      <c r="K695" s="1" t="s">
        <v>25</v>
      </c>
      <c r="L695" s="1" t="s">
        <v>167</v>
      </c>
      <c r="M695" s="1" t="s">
        <v>88</v>
      </c>
      <c r="N695"/>
    </row>
    <row r="696" spans="1:14" x14ac:dyDescent="0.25">
      <c r="A696" s="1" t="s">
        <v>296</v>
      </c>
      <c r="B696" s="1" t="s">
        <v>164</v>
      </c>
      <c r="C696" s="5">
        <v>45570</v>
      </c>
      <c r="D696" s="6">
        <f t="shared" si="30"/>
        <v>45570</v>
      </c>
      <c r="E696" s="1" t="s">
        <v>20</v>
      </c>
      <c r="F696" s="1" t="s">
        <v>21</v>
      </c>
      <c r="G696" s="1">
        <v>23852</v>
      </c>
      <c r="H696" s="1" cm="1">
        <f t="array" ref="H696">IF(TRIM(G696)="",
   MEDIAN(IFERROR(--SUBSTITUTE(SUBSTITUTE(SUBSTITUTE(SUBSTITUTE(SUBSTITUTE(SUBSTITUTE(G$2:G$747,"Rs.",""),"INR",""),"₹",""),"â‚¹",""),"$","")," ",""),"")),
   IFERROR(--SUBSTITUTE(SUBSTITUTE(SUBSTITUTE(SUBSTITUTE(SUBSTITUTE(SUBSTITUTE(TRIM(G696),"Rs.",""),"INR",""),"₹",""),"â‚¹",""),"$","")," ",""),"")
)</f>
        <v>23852</v>
      </c>
      <c r="I696" s="1" t="str">
        <f t="shared" si="31"/>
        <v>Nill</v>
      </c>
      <c r="J696" s="1">
        <f t="shared" si="32"/>
        <v>23852</v>
      </c>
      <c r="K696" s="1" t="s">
        <v>12</v>
      </c>
      <c r="L696" s="1" t="s">
        <v>40</v>
      </c>
      <c r="M696" s="1" t="s">
        <v>113</v>
      </c>
      <c r="N696"/>
    </row>
    <row r="697" spans="1:14" x14ac:dyDescent="0.25">
      <c r="A697" s="1" t="s">
        <v>744</v>
      </c>
      <c r="B697" s="1" t="s">
        <v>184</v>
      </c>
      <c r="C697" s="5">
        <v>44888</v>
      </c>
      <c r="D697" s="6">
        <f t="shared" si="30"/>
        <v>44888</v>
      </c>
      <c r="E697" s="1" t="s">
        <v>11</v>
      </c>
      <c r="F697" s="1" t="s">
        <v>158</v>
      </c>
      <c r="G697" s="1">
        <v>886</v>
      </c>
      <c r="H697" s="1" cm="1">
        <f t="array" ref="H697">IF(TRIM(G697)="",
   MEDIAN(IFERROR(--SUBSTITUTE(SUBSTITUTE(SUBSTITUTE(SUBSTITUTE(SUBSTITUTE(SUBSTITUTE(G$2:G$747,"Rs.",""),"INR",""),"₹",""),"â‚¹",""),"$","")," ",""),"")),
   IFERROR(--SUBSTITUTE(SUBSTITUTE(SUBSTITUTE(SUBSTITUTE(SUBSTITUTE(SUBSTITUTE(TRIM(G697),"Rs.",""),"INR",""),"₹",""),"â‚¹",""),"$","")," ",""),"")
)</f>
        <v>886</v>
      </c>
      <c r="I697" s="1">
        <f t="shared" si="31"/>
        <v>886</v>
      </c>
      <c r="J697" s="1" t="str">
        <f t="shared" si="32"/>
        <v>Nill</v>
      </c>
      <c r="K697" s="1" t="s">
        <v>138</v>
      </c>
      <c r="L697" s="1" t="s">
        <v>13</v>
      </c>
      <c r="M697" s="1" t="s">
        <v>133</v>
      </c>
      <c r="N697"/>
    </row>
    <row r="698" spans="1:14" x14ac:dyDescent="0.25">
      <c r="A698" s="1" t="s">
        <v>396</v>
      </c>
      <c r="B698" s="1" t="s">
        <v>78</v>
      </c>
      <c r="C698" s="5">
        <v>45361</v>
      </c>
      <c r="D698" s="6">
        <f t="shared" si="30"/>
        <v>45361</v>
      </c>
      <c r="E698" s="1" t="s">
        <v>11</v>
      </c>
      <c r="F698" s="1" t="s">
        <v>171</v>
      </c>
      <c r="G698" s="1">
        <v>21376</v>
      </c>
      <c r="H698" s="1" cm="1">
        <f t="array" ref="H698">IF(TRIM(G698)="",
   MEDIAN(IFERROR(--SUBSTITUTE(SUBSTITUTE(SUBSTITUTE(SUBSTITUTE(SUBSTITUTE(SUBSTITUTE(G$2:G$747,"Rs.",""),"INR",""),"₹",""),"â‚¹",""),"$","")," ",""),"")),
   IFERROR(--SUBSTITUTE(SUBSTITUTE(SUBSTITUTE(SUBSTITUTE(SUBSTITUTE(SUBSTITUTE(TRIM(G698),"Rs.",""),"INR",""),"₹",""),"â‚¹",""),"$","")," ",""),"")
)</f>
        <v>21376</v>
      </c>
      <c r="I698" s="1">
        <f t="shared" si="31"/>
        <v>21376</v>
      </c>
      <c r="J698" s="1" t="str">
        <f t="shared" si="32"/>
        <v>Nill</v>
      </c>
      <c r="K698" s="1" t="s">
        <v>53</v>
      </c>
      <c r="L698" s="1" t="s">
        <v>299</v>
      </c>
      <c r="M698" s="1" t="s">
        <v>35</v>
      </c>
      <c r="N698"/>
    </row>
    <row r="699" spans="1:14" x14ac:dyDescent="0.25">
      <c r="A699" s="1" t="s">
        <v>452</v>
      </c>
      <c r="B699" s="1" t="s">
        <v>405</v>
      </c>
      <c r="C699" s="1" t="s">
        <v>453</v>
      </c>
      <c r="D699" s="6">
        <f t="shared" si="30"/>
        <v>44914</v>
      </c>
      <c r="E699" s="1" t="s">
        <v>20</v>
      </c>
      <c r="F699" s="1" t="s">
        <v>44</v>
      </c>
      <c r="G699" s="1">
        <v>70693</v>
      </c>
      <c r="H699" s="1" cm="1">
        <f t="array" ref="H699">IF(TRIM(G699)="",
   MEDIAN(IFERROR(--SUBSTITUTE(SUBSTITUTE(SUBSTITUTE(SUBSTITUTE(SUBSTITUTE(SUBSTITUTE(G$2:G$747,"Rs.",""),"INR",""),"₹",""),"â‚¹",""),"$","")," ",""),"")),
   IFERROR(--SUBSTITUTE(SUBSTITUTE(SUBSTITUTE(SUBSTITUTE(SUBSTITUTE(SUBSTITUTE(TRIM(G699),"Rs.",""),"INR",""),"₹",""),"â‚¹",""),"$","")," ",""),"")
)</f>
        <v>70693</v>
      </c>
      <c r="I699" s="1" t="str">
        <f t="shared" si="31"/>
        <v>Nill</v>
      </c>
      <c r="J699" s="1">
        <f t="shared" si="32"/>
        <v>70693</v>
      </c>
      <c r="K699" s="1" t="s">
        <v>138</v>
      </c>
      <c r="L699" s="1" t="s">
        <v>13</v>
      </c>
      <c r="M699" s="1" t="s">
        <v>1253</v>
      </c>
      <c r="N699"/>
    </row>
    <row r="700" spans="1:14" x14ac:dyDescent="0.25">
      <c r="A700" s="1" t="s">
        <v>387</v>
      </c>
      <c r="B700" s="1" t="s">
        <v>212</v>
      </c>
      <c r="C700" s="1" t="s">
        <v>388</v>
      </c>
      <c r="D700" s="6">
        <f t="shared" si="30"/>
        <v>45561</v>
      </c>
      <c r="E700" s="1" t="s">
        <v>11</v>
      </c>
      <c r="F700" s="1" t="s">
        <v>186</v>
      </c>
      <c r="G700" s="1" t="s">
        <v>389</v>
      </c>
      <c r="H700" s="1" cm="1">
        <f t="array" ref="H700">IF(TRIM(G700)="",
   MEDIAN(IFERROR(--SUBSTITUTE(SUBSTITUTE(SUBSTITUTE(SUBSTITUTE(SUBSTITUTE(SUBSTITUTE(G$2:G$747,"Rs.",""),"INR",""),"₹",""),"â‚¹",""),"$","")," ",""),"")),
   IFERROR(--SUBSTITUTE(SUBSTITUTE(SUBSTITUTE(SUBSTITUTE(SUBSTITUTE(SUBSTITUTE(TRIM(G700),"Rs.",""),"INR",""),"₹",""),"â‚¹",""),"$","")," ",""),"")
)</f>
        <v>4328</v>
      </c>
      <c r="I700" s="1">
        <f t="shared" si="31"/>
        <v>4328</v>
      </c>
      <c r="J700" s="1" t="str">
        <f t="shared" si="32"/>
        <v>Nill</v>
      </c>
      <c r="K700" s="1" t="s">
        <v>172</v>
      </c>
      <c r="L700" s="1" t="s">
        <v>198</v>
      </c>
      <c r="M700" s="1" t="s">
        <v>179</v>
      </c>
      <c r="N700"/>
    </row>
    <row r="701" spans="1:14" x14ac:dyDescent="0.25">
      <c r="A701" s="1" t="s">
        <v>409</v>
      </c>
      <c r="B701" s="1" t="s">
        <v>410</v>
      </c>
      <c r="C701" s="5">
        <v>44672</v>
      </c>
      <c r="D701" s="6">
        <f t="shared" si="30"/>
        <v>44672</v>
      </c>
      <c r="E701" s="1" t="s">
        <v>11</v>
      </c>
      <c r="F701" s="1" t="s">
        <v>104</v>
      </c>
      <c r="G701" s="1">
        <v>9939</v>
      </c>
      <c r="H701" s="1" cm="1">
        <f t="array" ref="H701">IF(TRIM(G701)="",
   MEDIAN(IFERROR(--SUBSTITUTE(SUBSTITUTE(SUBSTITUTE(SUBSTITUTE(SUBSTITUTE(SUBSTITUTE(G$2:G$747,"Rs.",""),"INR",""),"₹",""),"â‚¹",""),"$","")," ",""),"")),
   IFERROR(--SUBSTITUTE(SUBSTITUTE(SUBSTITUTE(SUBSTITUTE(SUBSTITUTE(SUBSTITUTE(TRIM(G701),"Rs.",""),"INR",""),"₹",""),"â‚¹",""),"$","")," ",""),"")
)</f>
        <v>9939</v>
      </c>
      <c r="I701" s="1">
        <f t="shared" si="31"/>
        <v>9939</v>
      </c>
      <c r="J701" s="1" t="str">
        <f t="shared" si="32"/>
        <v>Nill</v>
      </c>
      <c r="K701" s="1" t="s">
        <v>25</v>
      </c>
      <c r="L701" s="1" t="s">
        <v>167</v>
      </c>
      <c r="M701" s="1" t="s">
        <v>1253</v>
      </c>
      <c r="N701"/>
    </row>
    <row r="702" spans="1:14" x14ac:dyDescent="0.25">
      <c r="A702" s="1" t="s">
        <v>764</v>
      </c>
      <c r="B702" s="1" t="s">
        <v>254</v>
      </c>
      <c r="C702" s="1" t="s">
        <v>765</v>
      </c>
      <c r="D702" s="6">
        <f t="shared" si="30"/>
        <v>44344</v>
      </c>
      <c r="E702" s="1" t="s">
        <v>11</v>
      </c>
      <c r="F702" s="1" t="s">
        <v>158</v>
      </c>
      <c r="G702" s="1">
        <v>2053</v>
      </c>
      <c r="H702" s="1" cm="1">
        <f t="array" ref="H702">IF(TRIM(G702)="",
   MEDIAN(IFERROR(--SUBSTITUTE(SUBSTITUTE(SUBSTITUTE(SUBSTITUTE(SUBSTITUTE(SUBSTITUTE(G$2:G$747,"Rs.",""),"INR",""),"₹",""),"â‚¹",""),"$","")," ",""),"")),
   IFERROR(--SUBSTITUTE(SUBSTITUTE(SUBSTITUTE(SUBSTITUTE(SUBSTITUTE(SUBSTITUTE(TRIM(G702),"Rs.",""),"INR",""),"₹",""),"â‚¹",""),"$","")," ",""),"")
)</f>
        <v>2053</v>
      </c>
      <c r="I702" s="1">
        <f t="shared" si="31"/>
        <v>2053</v>
      </c>
      <c r="J702" s="1" t="str">
        <f t="shared" si="32"/>
        <v>Nill</v>
      </c>
      <c r="K702" s="1" t="s">
        <v>25</v>
      </c>
      <c r="L702" s="1" t="s">
        <v>299</v>
      </c>
      <c r="M702" s="1" t="s">
        <v>54</v>
      </c>
      <c r="N702"/>
    </row>
    <row r="703" spans="1:14" x14ac:dyDescent="0.25">
      <c r="A703" s="1" t="s">
        <v>778</v>
      </c>
      <c r="B703" s="1" t="s">
        <v>407</v>
      </c>
      <c r="C703" s="5">
        <v>44783</v>
      </c>
      <c r="D703" s="6">
        <f t="shared" si="30"/>
        <v>44783</v>
      </c>
      <c r="E703" s="1" t="s">
        <v>20</v>
      </c>
      <c r="F703" s="1" t="s">
        <v>21</v>
      </c>
      <c r="G703" s="1">
        <v>24394</v>
      </c>
      <c r="H703" s="1" cm="1">
        <f t="array" ref="H703">IF(TRIM(G703)="",
   MEDIAN(IFERROR(--SUBSTITUTE(SUBSTITUTE(SUBSTITUTE(SUBSTITUTE(SUBSTITUTE(SUBSTITUTE(G$2:G$747,"Rs.",""),"INR",""),"₹",""),"â‚¹",""),"$","")," ",""),"")),
   IFERROR(--SUBSTITUTE(SUBSTITUTE(SUBSTITUTE(SUBSTITUTE(SUBSTITUTE(SUBSTITUTE(TRIM(G703),"Rs.",""),"INR",""),"₹",""),"â‚¹",""),"$","")," ",""),"")
)</f>
        <v>24394</v>
      </c>
      <c r="I703" s="1" t="str">
        <f t="shared" si="31"/>
        <v>Nill</v>
      </c>
      <c r="J703" s="1">
        <f t="shared" si="32"/>
        <v>24394</v>
      </c>
      <c r="K703" s="1" t="s">
        <v>48</v>
      </c>
      <c r="L703" s="1" t="s">
        <v>127</v>
      </c>
      <c r="M703" s="1" t="s">
        <v>241</v>
      </c>
      <c r="N703"/>
    </row>
    <row r="704" spans="1:14" x14ac:dyDescent="0.25">
      <c r="A704" s="1" t="s">
        <v>893</v>
      </c>
      <c r="B704" s="1" t="s">
        <v>226</v>
      </c>
      <c r="C704" s="1" t="s">
        <v>894</v>
      </c>
      <c r="D704" s="6">
        <f t="shared" si="30"/>
        <v>45132</v>
      </c>
      <c r="E704" s="1" t="s">
        <v>11</v>
      </c>
      <c r="F704" s="1" t="s">
        <v>379</v>
      </c>
      <c r="G704" s="1">
        <v>4153</v>
      </c>
      <c r="H704" s="1" cm="1">
        <f t="array" ref="H704">IF(TRIM(G704)="",
   MEDIAN(IFERROR(--SUBSTITUTE(SUBSTITUTE(SUBSTITUTE(SUBSTITUTE(SUBSTITUTE(SUBSTITUTE(G$2:G$747,"Rs.",""),"INR",""),"₹",""),"â‚¹",""),"$","")," ",""),"")),
   IFERROR(--SUBSTITUTE(SUBSTITUTE(SUBSTITUTE(SUBSTITUTE(SUBSTITUTE(SUBSTITUTE(TRIM(G704),"Rs.",""),"INR",""),"₹",""),"â‚¹",""),"$","")," ",""),"")
)</f>
        <v>4153</v>
      </c>
      <c r="I704" s="1">
        <f t="shared" si="31"/>
        <v>4153</v>
      </c>
      <c r="J704" s="1" t="str">
        <f t="shared" si="32"/>
        <v>Nill</v>
      </c>
      <c r="K704" s="1" t="s">
        <v>53</v>
      </c>
      <c r="L704" s="1" t="s">
        <v>127</v>
      </c>
      <c r="M704" s="1" t="s">
        <v>1253</v>
      </c>
      <c r="N704"/>
    </row>
    <row r="705" spans="1:14" x14ac:dyDescent="0.25">
      <c r="A705" s="1" t="s">
        <v>918</v>
      </c>
      <c r="B705" s="1" t="s">
        <v>330</v>
      </c>
      <c r="C705" s="5">
        <v>44200</v>
      </c>
      <c r="D705" s="6">
        <f t="shared" si="30"/>
        <v>44200</v>
      </c>
      <c r="E705" s="1" t="s">
        <v>11</v>
      </c>
      <c r="F705" s="1" t="s">
        <v>69</v>
      </c>
      <c r="G705" s="1">
        <v>2799</v>
      </c>
      <c r="H705" s="1" cm="1">
        <f t="array" ref="H705">IF(TRIM(G705)="",
   MEDIAN(IFERROR(--SUBSTITUTE(SUBSTITUTE(SUBSTITUTE(SUBSTITUTE(SUBSTITUTE(SUBSTITUTE(G$2:G$747,"Rs.",""),"INR",""),"₹",""),"â‚¹",""),"$","")," ",""),"")),
   IFERROR(--SUBSTITUTE(SUBSTITUTE(SUBSTITUTE(SUBSTITUTE(SUBSTITUTE(SUBSTITUTE(TRIM(G705),"Rs.",""),"INR",""),"₹",""),"â‚¹",""),"$","")," ",""),"")
)</f>
        <v>2799</v>
      </c>
      <c r="I705" s="1">
        <f t="shared" si="31"/>
        <v>2799</v>
      </c>
      <c r="J705" s="1" t="str">
        <f t="shared" si="32"/>
        <v>Nill</v>
      </c>
      <c r="K705" s="1" t="s">
        <v>261</v>
      </c>
      <c r="L705" s="1" t="s">
        <v>17</v>
      </c>
      <c r="M705" s="1" t="s">
        <v>117</v>
      </c>
      <c r="N705"/>
    </row>
    <row r="706" spans="1:14" x14ac:dyDescent="0.25">
      <c r="A706" s="1" t="s">
        <v>305</v>
      </c>
      <c r="B706" s="1" t="s">
        <v>306</v>
      </c>
      <c r="C706" s="5">
        <v>44907</v>
      </c>
      <c r="D706" s="6">
        <f t="shared" ref="D706:D747" si="33">IF(ISBLANK(C706),("unknown"),IF(ISNUMBER(C706),C706,DATE(RIGHT(C706,4),LEFT(C706,2),MID(C706,4,2))))</f>
        <v>44907</v>
      </c>
      <c r="E706" s="1" t="s">
        <v>20</v>
      </c>
      <c r="F706" s="1" t="s">
        <v>239</v>
      </c>
      <c r="G706" s="1" t="s">
        <v>307</v>
      </c>
      <c r="H706" s="1" cm="1">
        <f t="array" ref="H706">IF(TRIM(G706)="",
   MEDIAN(IFERROR(--SUBSTITUTE(SUBSTITUTE(SUBSTITUTE(SUBSTITUTE(SUBSTITUTE(SUBSTITUTE(G$2:G$747,"Rs.",""),"INR",""),"₹",""),"â‚¹",""),"$","")," ",""),"")),
   IFERROR(--SUBSTITUTE(SUBSTITUTE(SUBSTITUTE(SUBSTITUTE(SUBSTITUTE(SUBSTITUTE(TRIM(G706),"Rs.",""),"INR",""),"₹",""),"â‚¹",""),"$","")," ",""),"")
)</f>
        <v>14249</v>
      </c>
      <c r="I706" s="1" t="str">
        <f t="shared" ref="I706:I769" si="34">IF(E706="Expense",H706,"Nill")</f>
        <v>Nill</v>
      </c>
      <c r="J706" s="1">
        <f t="shared" ref="J706:J747" si="35">IF(E706="Income",H706,"Nill")</f>
        <v>14249</v>
      </c>
      <c r="K706" s="1" t="s">
        <v>25</v>
      </c>
      <c r="L706" s="1" t="s">
        <v>40</v>
      </c>
      <c r="M706" s="1" t="s">
        <v>1253</v>
      </c>
      <c r="N706"/>
    </row>
    <row r="707" spans="1:14" x14ac:dyDescent="0.25">
      <c r="A707" s="1" t="s">
        <v>1126</v>
      </c>
      <c r="B707" s="1" t="s">
        <v>662</v>
      </c>
      <c r="C707" s="5">
        <v>44823</v>
      </c>
      <c r="D707" s="6">
        <f t="shared" si="33"/>
        <v>44823</v>
      </c>
      <c r="E707" s="1" t="s">
        <v>11</v>
      </c>
      <c r="F707" s="1" t="s">
        <v>69</v>
      </c>
      <c r="G707" s="1">
        <v>788</v>
      </c>
      <c r="H707" s="1" cm="1">
        <f t="array" ref="H707">IF(TRIM(G707)="",
   MEDIAN(IFERROR(--SUBSTITUTE(SUBSTITUTE(SUBSTITUTE(SUBSTITUTE(SUBSTITUTE(SUBSTITUTE(G$2:G$747,"Rs.",""),"INR",""),"₹",""),"â‚¹",""),"$","")," ",""),"")),
   IFERROR(--SUBSTITUTE(SUBSTITUTE(SUBSTITUTE(SUBSTITUTE(SUBSTITUTE(SUBSTITUTE(TRIM(G707),"Rs.",""),"INR",""),"₹",""),"â‚¹",""),"$","")," ",""),"")
)</f>
        <v>788</v>
      </c>
      <c r="I707" s="1">
        <f t="shared" si="34"/>
        <v>788</v>
      </c>
      <c r="J707" s="1" t="str">
        <f t="shared" si="35"/>
        <v>Nill</v>
      </c>
      <c r="K707" s="1" t="s">
        <v>138</v>
      </c>
      <c r="L707" s="1" t="s">
        <v>167</v>
      </c>
      <c r="M707" s="1" t="s">
        <v>128</v>
      </c>
      <c r="N707"/>
    </row>
    <row r="708" spans="1:14" x14ac:dyDescent="0.25">
      <c r="A708" s="1" t="s">
        <v>1172</v>
      </c>
      <c r="B708" s="1" t="s">
        <v>72</v>
      </c>
      <c r="C708" s="1" t="s">
        <v>1173</v>
      </c>
      <c r="D708" s="6">
        <f t="shared" si="33"/>
        <v>44251</v>
      </c>
      <c r="E708" s="1" t="s">
        <v>11</v>
      </c>
      <c r="F708" s="1" t="s">
        <v>85</v>
      </c>
      <c r="G708" s="1" t="s">
        <v>1174</v>
      </c>
      <c r="H708" s="1" cm="1">
        <f t="array" ref="H708">IF(TRIM(G708)="",
   MEDIAN(IFERROR(--SUBSTITUTE(SUBSTITUTE(SUBSTITUTE(SUBSTITUTE(SUBSTITUTE(SUBSTITUTE(G$2:G$747,"Rs.",""),"INR",""),"₹",""),"â‚¹",""),"$","")," ",""),"")),
   IFERROR(--SUBSTITUTE(SUBSTITUTE(SUBSTITUTE(SUBSTITUTE(SUBSTITUTE(SUBSTITUTE(TRIM(G708),"Rs.",""),"INR",""),"₹",""),"â‚¹",""),"$","")," ",""),"")
)</f>
        <v>9644</v>
      </c>
      <c r="I708" s="1">
        <f t="shared" si="34"/>
        <v>9644</v>
      </c>
      <c r="J708" s="1" t="str">
        <f t="shared" si="35"/>
        <v>Nill</v>
      </c>
      <c r="K708" s="1" t="s">
        <v>53</v>
      </c>
      <c r="L708" s="1" t="s">
        <v>17</v>
      </c>
      <c r="M708" s="1" t="s">
        <v>54</v>
      </c>
      <c r="N708"/>
    </row>
    <row r="709" spans="1:14" x14ac:dyDescent="0.25">
      <c r="A709" s="1" t="s">
        <v>1015</v>
      </c>
      <c r="B709" s="1" t="s">
        <v>1016</v>
      </c>
      <c r="C709" s="5">
        <v>44340</v>
      </c>
      <c r="D709" s="6">
        <f t="shared" si="33"/>
        <v>44340</v>
      </c>
      <c r="E709" s="1" t="s">
        <v>11</v>
      </c>
      <c r="F709" s="1" t="s">
        <v>158</v>
      </c>
      <c r="G709" s="1">
        <v>8729</v>
      </c>
      <c r="H709" s="1" cm="1">
        <f t="array" ref="H709">IF(TRIM(G709)="",
   MEDIAN(IFERROR(--SUBSTITUTE(SUBSTITUTE(SUBSTITUTE(SUBSTITUTE(SUBSTITUTE(SUBSTITUTE(G$2:G$747,"Rs.",""),"INR",""),"₹",""),"â‚¹",""),"$","")," ",""),"")),
   IFERROR(--SUBSTITUTE(SUBSTITUTE(SUBSTITUTE(SUBSTITUTE(SUBSTITUTE(SUBSTITUTE(TRIM(G709),"Rs.",""),"INR",""),"₹",""),"â‚¹",""),"$","")," ",""),"")
)</f>
        <v>8729</v>
      </c>
      <c r="I709" s="1">
        <f t="shared" si="34"/>
        <v>8729</v>
      </c>
      <c r="J709" s="1" t="str">
        <f t="shared" si="35"/>
        <v>Nill</v>
      </c>
      <c r="K709" s="1" t="s">
        <v>87</v>
      </c>
      <c r="L709" s="1" t="s">
        <v>40</v>
      </c>
      <c r="M709" s="1" t="s">
        <v>133</v>
      </c>
      <c r="N709"/>
    </row>
    <row r="710" spans="1:14" x14ac:dyDescent="0.25">
      <c r="A710" s="1" t="s">
        <v>819</v>
      </c>
      <c r="B710" s="1" t="s">
        <v>442</v>
      </c>
      <c r="C710" s="5">
        <v>44284</v>
      </c>
      <c r="D710" s="6">
        <f t="shared" si="33"/>
        <v>44284</v>
      </c>
      <c r="E710" s="1" t="s">
        <v>11</v>
      </c>
      <c r="F710" s="1" t="s">
        <v>171</v>
      </c>
      <c r="H710" s="1" cm="1">
        <f t="array" ref="H710">IF(TRIM(G710)="",
   MEDIAN(IFERROR(--SUBSTITUTE(SUBSTITUTE(SUBSTITUTE(SUBSTITUTE(SUBSTITUTE(SUBSTITUTE(G$2:G$747,"Rs.",""),"INR",""),"₹",""),"â‚¹",""),"$","")," ",""),"")),
   IFERROR(--SUBSTITUTE(SUBSTITUTE(SUBSTITUTE(SUBSTITUTE(SUBSTITUTE(SUBSTITUTE(TRIM(G710),"Rs.",""),"INR",""),"₹",""),"â‚¹",""),"$","")," ",""),"")
)</f>
        <v>5935</v>
      </c>
      <c r="I710" s="1">
        <f t="shared" si="34"/>
        <v>5935</v>
      </c>
      <c r="J710" s="1" t="str">
        <f t="shared" si="35"/>
        <v>Nill</v>
      </c>
      <c r="K710" s="1" t="s">
        <v>75</v>
      </c>
      <c r="L710" s="1" t="s">
        <v>81</v>
      </c>
      <c r="M710" s="1" t="s">
        <v>82</v>
      </c>
      <c r="N710"/>
    </row>
    <row r="711" spans="1:14" x14ac:dyDescent="0.25">
      <c r="A711" s="1" t="s">
        <v>469</v>
      </c>
      <c r="B711" s="1" t="s">
        <v>442</v>
      </c>
      <c r="C711" s="5">
        <v>44472</v>
      </c>
      <c r="D711" s="6">
        <f t="shared" si="33"/>
        <v>44472</v>
      </c>
      <c r="E711" s="1" t="s">
        <v>20</v>
      </c>
      <c r="F711" s="1" t="s">
        <v>52</v>
      </c>
      <c r="G711" s="1">
        <v>20156</v>
      </c>
      <c r="H711" s="1" cm="1">
        <f t="array" ref="H711">IF(TRIM(G711)="",
   MEDIAN(IFERROR(--SUBSTITUTE(SUBSTITUTE(SUBSTITUTE(SUBSTITUTE(SUBSTITUTE(SUBSTITUTE(G$2:G$747,"Rs.",""),"INR",""),"₹",""),"â‚¹",""),"$","")," ",""),"")),
   IFERROR(--SUBSTITUTE(SUBSTITUTE(SUBSTITUTE(SUBSTITUTE(SUBSTITUTE(SUBSTITUTE(TRIM(G711),"Rs.",""),"INR",""),"₹",""),"â‚¹",""),"$","")," ",""),"")
)</f>
        <v>20156</v>
      </c>
      <c r="I711" s="1" t="str">
        <f t="shared" si="34"/>
        <v>Nill</v>
      </c>
      <c r="J711" s="1">
        <f t="shared" si="35"/>
        <v>20156</v>
      </c>
      <c r="K711" s="1" t="s">
        <v>204</v>
      </c>
      <c r="L711" s="1" t="s">
        <v>167</v>
      </c>
      <c r="M711" s="1" t="s">
        <v>1253</v>
      </c>
      <c r="N711"/>
    </row>
    <row r="712" spans="1:14" x14ac:dyDescent="0.25">
      <c r="A712" s="1" t="s">
        <v>971</v>
      </c>
      <c r="B712" s="1" t="s">
        <v>885</v>
      </c>
      <c r="C712" s="1" t="s">
        <v>972</v>
      </c>
      <c r="D712" s="6">
        <f t="shared" si="33"/>
        <v>44849</v>
      </c>
      <c r="E712" s="1" t="s">
        <v>11</v>
      </c>
      <c r="F712" s="1" t="s">
        <v>465</v>
      </c>
      <c r="G712" s="1">
        <v>8122</v>
      </c>
      <c r="H712" s="1" cm="1">
        <f t="array" ref="H712">IF(TRIM(G712)="",
   MEDIAN(IFERROR(--SUBSTITUTE(SUBSTITUTE(SUBSTITUTE(SUBSTITUTE(SUBSTITUTE(SUBSTITUTE(G$2:G$747,"Rs.",""),"INR",""),"₹",""),"â‚¹",""),"$","")," ",""),"")),
   IFERROR(--SUBSTITUTE(SUBSTITUTE(SUBSTITUTE(SUBSTITUTE(SUBSTITUTE(SUBSTITUTE(TRIM(G712),"Rs.",""),"INR",""),"₹",""),"â‚¹",""),"$","")," ",""),"")
)</f>
        <v>8122</v>
      </c>
      <c r="I712" s="1">
        <f t="shared" si="34"/>
        <v>8122</v>
      </c>
      <c r="J712" s="1" t="str">
        <f t="shared" si="35"/>
        <v>Nill</v>
      </c>
      <c r="K712" s="1" t="s">
        <v>25</v>
      </c>
      <c r="L712" s="1" t="s">
        <v>1252</v>
      </c>
      <c r="M712" s="1" t="s">
        <v>1253</v>
      </c>
      <c r="N712"/>
    </row>
    <row r="713" spans="1:14" x14ac:dyDescent="0.25">
      <c r="A713" s="1" t="s">
        <v>766</v>
      </c>
      <c r="B713" s="1" t="s">
        <v>121</v>
      </c>
      <c r="C713" s="5">
        <v>44590</v>
      </c>
      <c r="D713" s="6">
        <f t="shared" si="33"/>
        <v>44590</v>
      </c>
      <c r="E713" s="1" t="s">
        <v>11</v>
      </c>
      <c r="F713" s="1" t="s">
        <v>30</v>
      </c>
      <c r="G713" s="1">
        <v>8839</v>
      </c>
      <c r="H713" s="1" cm="1">
        <f t="array" ref="H713">IF(TRIM(G713)="",
   MEDIAN(IFERROR(--SUBSTITUTE(SUBSTITUTE(SUBSTITUTE(SUBSTITUTE(SUBSTITUTE(SUBSTITUTE(G$2:G$747,"Rs.",""),"INR",""),"₹",""),"â‚¹",""),"$","")," ",""),"")),
   IFERROR(--SUBSTITUTE(SUBSTITUTE(SUBSTITUTE(SUBSTITUTE(SUBSTITUTE(SUBSTITUTE(TRIM(G713),"Rs.",""),"INR",""),"₹",""),"â‚¹",""),"$","")," ",""),"")
)</f>
        <v>8839</v>
      </c>
      <c r="I713" s="1">
        <f t="shared" si="34"/>
        <v>8839</v>
      </c>
      <c r="J713" s="1" t="str">
        <f t="shared" si="35"/>
        <v>Nill</v>
      </c>
      <c r="K713" s="1" t="s">
        <v>204</v>
      </c>
      <c r="L713" s="1" t="s">
        <v>299</v>
      </c>
      <c r="M713" s="1" t="s">
        <v>1253</v>
      </c>
      <c r="N713"/>
    </row>
    <row r="714" spans="1:14" x14ac:dyDescent="0.25">
      <c r="A714" s="1" t="s">
        <v>618</v>
      </c>
      <c r="B714" s="1" t="s">
        <v>513</v>
      </c>
      <c r="C714" s="5">
        <v>44526</v>
      </c>
      <c r="D714" s="6">
        <f t="shared" si="33"/>
        <v>44526</v>
      </c>
      <c r="E714" s="1" t="s">
        <v>11</v>
      </c>
      <c r="F714" s="1" t="s">
        <v>171</v>
      </c>
      <c r="G714" s="1">
        <v>21603</v>
      </c>
      <c r="H714" s="1" cm="1">
        <f t="array" ref="H714">IF(TRIM(G714)="",
   MEDIAN(IFERROR(--SUBSTITUTE(SUBSTITUTE(SUBSTITUTE(SUBSTITUTE(SUBSTITUTE(SUBSTITUTE(G$2:G$747,"Rs.",""),"INR",""),"₹",""),"â‚¹",""),"$","")," ",""),"")),
   IFERROR(--SUBSTITUTE(SUBSTITUTE(SUBSTITUTE(SUBSTITUTE(SUBSTITUTE(SUBSTITUTE(TRIM(G714),"Rs.",""),"INR",""),"₹",""),"â‚¹",""),"$","")," ",""),"")
)</f>
        <v>21603</v>
      </c>
      <c r="I714" s="1">
        <f t="shared" si="34"/>
        <v>21603</v>
      </c>
      <c r="J714" s="1" t="str">
        <f t="shared" si="35"/>
        <v>Nill</v>
      </c>
      <c r="K714" s="1" t="s">
        <v>138</v>
      </c>
      <c r="L714" s="1" t="s">
        <v>97</v>
      </c>
      <c r="M714" s="1" t="s">
        <v>210</v>
      </c>
      <c r="N714"/>
    </row>
    <row r="715" spans="1:14" x14ac:dyDescent="0.25">
      <c r="A715" s="1" t="s">
        <v>719</v>
      </c>
      <c r="B715" s="1" t="s">
        <v>195</v>
      </c>
      <c r="C715" s="5">
        <v>44773</v>
      </c>
      <c r="D715" s="6">
        <f t="shared" si="33"/>
        <v>44773</v>
      </c>
      <c r="E715" s="1" t="s">
        <v>11</v>
      </c>
      <c r="F715" s="1" t="s">
        <v>85</v>
      </c>
      <c r="G715" s="1">
        <v>7748</v>
      </c>
      <c r="H715" s="1" cm="1">
        <f t="array" ref="H715">IF(TRIM(G715)="",
   MEDIAN(IFERROR(--SUBSTITUTE(SUBSTITUTE(SUBSTITUTE(SUBSTITUTE(SUBSTITUTE(SUBSTITUTE(G$2:G$747,"Rs.",""),"INR",""),"₹",""),"â‚¹",""),"$","")," ",""),"")),
   IFERROR(--SUBSTITUTE(SUBSTITUTE(SUBSTITUTE(SUBSTITUTE(SUBSTITUTE(SUBSTITUTE(TRIM(G715),"Rs.",""),"INR",""),"₹",""),"â‚¹",""),"$","")," ",""),"")
)</f>
        <v>7748</v>
      </c>
      <c r="I715" s="1">
        <f t="shared" si="34"/>
        <v>7748</v>
      </c>
      <c r="J715" s="1" t="str">
        <f t="shared" si="35"/>
        <v>Nill</v>
      </c>
      <c r="K715" s="1" t="s">
        <v>12</v>
      </c>
      <c r="L715" s="1" t="s">
        <v>81</v>
      </c>
      <c r="M715" s="1" t="s">
        <v>1253</v>
      </c>
      <c r="N715"/>
    </row>
    <row r="716" spans="1:14" x14ac:dyDescent="0.25">
      <c r="A716" s="1" t="s">
        <v>613</v>
      </c>
      <c r="B716" s="1" t="s">
        <v>355</v>
      </c>
      <c r="C716" s="5">
        <v>44420</v>
      </c>
      <c r="D716" s="6">
        <f t="shared" si="33"/>
        <v>44420</v>
      </c>
      <c r="E716" s="1" t="s">
        <v>11</v>
      </c>
      <c r="F716" s="1" t="s">
        <v>104</v>
      </c>
      <c r="G716" s="1">
        <v>2186</v>
      </c>
      <c r="H716" s="1" cm="1">
        <f t="array" ref="H716">IF(TRIM(G716)="",
   MEDIAN(IFERROR(--SUBSTITUTE(SUBSTITUTE(SUBSTITUTE(SUBSTITUTE(SUBSTITUTE(SUBSTITUTE(G$2:G$747,"Rs.",""),"INR",""),"₹",""),"â‚¹",""),"$","")," ",""),"")),
   IFERROR(--SUBSTITUTE(SUBSTITUTE(SUBSTITUTE(SUBSTITUTE(SUBSTITUTE(SUBSTITUTE(TRIM(G716),"Rs.",""),"INR",""),"₹",""),"â‚¹",""),"$","")," ",""),"")
)</f>
        <v>2186</v>
      </c>
      <c r="I716" s="1">
        <f t="shared" si="34"/>
        <v>2186</v>
      </c>
      <c r="J716" s="1" t="str">
        <f t="shared" si="35"/>
        <v>Nill</v>
      </c>
      <c r="K716" s="1" t="s">
        <v>12</v>
      </c>
      <c r="L716" s="1" t="s">
        <v>81</v>
      </c>
      <c r="M716" s="1" t="s">
        <v>128</v>
      </c>
      <c r="N716"/>
    </row>
    <row r="717" spans="1:14" x14ac:dyDescent="0.25">
      <c r="A717" s="1" t="s">
        <v>291</v>
      </c>
      <c r="B717" s="1" t="s">
        <v>145</v>
      </c>
      <c r="C717" s="5">
        <v>45541</v>
      </c>
      <c r="D717" s="6">
        <f t="shared" si="33"/>
        <v>45541</v>
      </c>
      <c r="E717" s="1" t="s">
        <v>11</v>
      </c>
      <c r="F717" s="1" t="s">
        <v>171</v>
      </c>
      <c r="G717" s="1">
        <v>42078</v>
      </c>
      <c r="H717" s="1" cm="1">
        <f t="array" ref="H717">IF(TRIM(G717)="",
   MEDIAN(IFERROR(--SUBSTITUTE(SUBSTITUTE(SUBSTITUTE(SUBSTITUTE(SUBSTITUTE(SUBSTITUTE(G$2:G$747,"Rs.",""),"INR",""),"₹",""),"â‚¹",""),"$","")," ",""),"")),
   IFERROR(--SUBSTITUTE(SUBSTITUTE(SUBSTITUTE(SUBSTITUTE(SUBSTITUTE(SUBSTITUTE(TRIM(G717),"Rs.",""),"INR",""),"₹",""),"â‚¹",""),"$","")," ",""),"")
)</f>
        <v>42078</v>
      </c>
      <c r="I717" s="1">
        <f t="shared" si="34"/>
        <v>42078</v>
      </c>
      <c r="J717" s="1" t="str">
        <f t="shared" si="35"/>
        <v>Nill</v>
      </c>
      <c r="K717" s="1" t="s">
        <v>53</v>
      </c>
      <c r="L717" s="1" t="s">
        <v>217</v>
      </c>
      <c r="M717" s="1" t="s">
        <v>1253</v>
      </c>
      <c r="N717"/>
    </row>
    <row r="718" spans="1:14" x14ac:dyDescent="0.25">
      <c r="A718" s="1" t="s">
        <v>1217</v>
      </c>
      <c r="B718" s="1" t="s">
        <v>216</v>
      </c>
      <c r="C718" s="5">
        <v>44297</v>
      </c>
      <c r="D718" s="6">
        <f t="shared" si="33"/>
        <v>44297</v>
      </c>
      <c r="E718" s="1" t="s">
        <v>11</v>
      </c>
      <c r="F718" s="1" t="s">
        <v>69</v>
      </c>
      <c r="G718" s="1">
        <v>-1000</v>
      </c>
      <c r="H718" s="1" cm="1">
        <f t="array" ref="H718">IF(TRIM(G718)="",
   MEDIAN(IFERROR(--SUBSTITUTE(SUBSTITUTE(SUBSTITUTE(SUBSTITUTE(SUBSTITUTE(SUBSTITUTE(G$2:G$747,"Rs.",""),"INR",""),"₹",""),"â‚¹",""),"$","")," ",""),"")),
   IFERROR(--SUBSTITUTE(SUBSTITUTE(SUBSTITUTE(SUBSTITUTE(SUBSTITUTE(SUBSTITUTE(TRIM(G718),"Rs.",""),"INR",""),"₹",""),"â‚¹",""),"$","")," ",""),"")
)</f>
        <v>-1000</v>
      </c>
      <c r="I718" s="1">
        <f t="shared" si="34"/>
        <v>-1000</v>
      </c>
      <c r="J718" s="1" t="str">
        <f t="shared" si="35"/>
        <v>Nill</v>
      </c>
      <c r="K718" s="1" t="s">
        <v>25</v>
      </c>
      <c r="L718" s="1" t="s">
        <v>81</v>
      </c>
      <c r="M718" s="1" t="s">
        <v>179</v>
      </c>
      <c r="N718"/>
    </row>
    <row r="719" spans="1:14" x14ac:dyDescent="0.25">
      <c r="A719" s="1" t="s">
        <v>60</v>
      </c>
      <c r="B719" s="1" t="s">
        <v>61</v>
      </c>
      <c r="C719" s="1" t="s">
        <v>62</v>
      </c>
      <c r="D719" s="6">
        <f t="shared" si="33"/>
        <v>44741</v>
      </c>
      <c r="E719" s="1" t="s">
        <v>11</v>
      </c>
      <c r="F719" s="1" t="s">
        <v>249</v>
      </c>
      <c r="G719" s="1">
        <v>5767</v>
      </c>
      <c r="H719" s="1" cm="1">
        <f t="array" ref="H719">IF(TRIM(G719)="",
   MEDIAN(IFERROR(--SUBSTITUTE(SUBSTITUTE(SUBSTITUTE(SUBSTITUTE(SUBSTITUTE(SUBSTITUTE(G$2:G$747,"Rs.",""),"INR",""),"₹",""),"â‚¹",""),"$","")," ",""),"")),
   IFERROR(--SUBSTITUTE(SUBSTITUTE(SUBSTITUTE(SUBSTITUTE(SUBSTITUTE(SUBSTITUTE(TRIM(G719),"Rs.",""),"INR",""),"₹",""),"â‚¹",""),"$","")," ",""),"")
)</f>
        <v>5767</v>
      </c>
      <c r="I719" s="1">
        <f t="shared" si="34"/>
        <v>5767</v>
      </c>
      <c r="J719" s="1" t="str">
        <f t="shared" si="35"/>
        <v>Nill</v>
      </c>
      <c r="K719" s="1" t="s">
        <v>25</v>
      </c>
      <c r="L719" s="1" t="s">
        <v>81</v>
      </c>
      <c r="M719" s="1" t="s">
        <v>1253</v>
      </c>
      <c r="N719"/>
    </row>
    <row r="720" spans="1:14" x14ac:dyDescent="0.25">
      <c r="A720" s="1" t="s">
        <v>147</v>
      </c>
      <c r="B720" s="1" t="s">
        <v>148</v>
      </c>
      <c r="C720" s="5">
        <v>45193</v>
      </c>
      <c r="D720" s="6">
        <f t="shared" si="33"/>
        <v>45193</v>
      </c>
      <c r="E720" s="1" t="s">
        <v>11</v>
      </c>
      <c r="F720" s="1" t="s">
        <v>171</v>
      </c>
      <c r="G720" s="1">
        <v>8579</v>
      </c>
      <c r="H720" s="1" cm="1">
        <f t="array" ref="H720">IF(TRIM(G720)="",
   MEDIAN(IFERROR(--SUBSTITUTE(SUBSTITUTE(SUBSTITUTE(SUBSTITUTE(SUBSTITUTE(SUBSTITUTE(G$2:G$747,"Rs.",""),"INR",""),"₹",""),"â‚¹",""),"$","")," ",""),"")),
   IFERROR(--SUBSTITUTE(SUBSTITUTE(SUBSTITUTE(SUBSTITUTE(SUBSTITUTE(SUBSTITUTE(TRIM(G720),"Rs.",""),"INR",""),"₹",""),"â‚¹",""),"$","")," ",""),"")
)</f>
        <v>8579</v>
      </c>
      <c r="I720" s="1">
        <f t="shared" si="34"/>
        <v>8579</v>
      </c>
      <c r="J720" s="1" t="str">
        <f t="shared" si="35"/>
        <v>Nill</v>
      </c>
      <c r="K720" s="1" t="s">
        <v>75</v>
      </c>
      <c r="L720" s="1" t="s">
        <v>13</v>
      </c>
      <c r="M720" s="1" t="s">
        <v>1253</v>
      </c>
      <c r="N720"/>
    </row>
    <row r="721" spans="1:14" x14ac:dyDescent="0.25">
      <c r="A721" s="1" t="s">
        <v>1089</v>
      </c>
      <c r="B721" s="1" t="s">
        <v>362</v>
      </c>
      <c r="C721" s="1" t="s">
        <v>284</v>
      </c>
      <c r="D721" s="6">
        <f t="shared" si="33"/>
        <v>45534</v>
      </c>
      <c r="E721" s="1" t="s">
        <v>11</v>
      </c>
      <c r="F721" s="1" t="s">
        <v>69</v>
      </c>
      <c r="G721" s="1">
        <v>1690</v>
      </c>
      <c r="H721" s="1" cm="1">
        <f t="array" ref="H721">IF(TRIM(G721)="",
   MEDIAN(IFERROR(--SUBSTITUTE(SUBSTITUTE(SUBSTITUTE(SUBSTITUTE(SUBSTITUTE(SUBSTITUTE(G$2:G$747,"Rs.",""),"INR",""),"₹",""),"â‚¹",""),"$","")," ",""),"")),
   IFERROR(--SUBSTITUTE(SUBSTITUTE(SUBSTITUTE(SUBSTITUTE(SUBSTITUTE(SUBSTITUTE(TRIM(G721),"Rs.",""),"INR",""),"₹",""),"â‚¹",""),"$","")," ",""),"")
)</f>
        <v>1690</v>
      </c>
      <c r="I721" s="1">
        <f t="shared" si="34"/>
        <v>1690</v>
      </c>
      <c r="J721" s="1" t="str">
        <f t="shared" si="35"/>
        <v>Nill</v>
      </c>
      <c r="K721" s="1" t="s">
        <v>172</v>
      </c>
      <c r="L721" s="1" t="s">
        <v>40</v>
      </c>
      <c r="M721" s="1" t="s">
        <v>1253</v>
      </c>
      <c r="N721"/>
    </row>
    <row r="722" spans="1:14" x14ac:dyDescent="0.25">
      <c r="A722" s="1" t="s">
        <v>958</v>
      </c>
      <c r="B722" s="1" t="s">
        <v>84</v>
      </c>
      <c r="C722" s="5">
        <v>45088</v>
      </c>
      <c r="D722" s="6">
        <f t="shared" si="33"/>
        <v>45088</v>
      </c>
      <c r="E722" s="1" t="s">
        <v>20</v>
      </c>
      <c r="F722" s="1" t="s">
        <v>21</v>
      </c>
      <c r="G722" s="1">
        <v>35719</v>
      </c>
      <c r="H722" s="1" cm="1">
        <f t="array" ref="H722">IF(TRIM(G722)="",
   MEDIAN(IFERROR(--SUBSTITUTE(SUBSTITUTE(SUBSTITUTE(SUBSTITUTE(SUBSTITUTE(SUBSTITUTE(G$2:G$747,"Rs.",""),"INR",""),"₹",""),"â‚¹",""),"$","")," ",""),"")),
   IFERROR(--SUBSTITUTE(SUBSTITUTE(SUBSTITUTE(SUBSTITUTE(SUBSTITUTE(SUBSTITUTE(TRIM(G722),"Rs.",""),"INR",""),"₹",""),"â‚¹",""),"$","")," ",""),"")
)</f>
        <v>35719</v>
      </c>
      <c r="I722" s="1" t="str">
        <f t="shared" si="34"/>
        <v>Nill</v>
      </c>
      <c r="J722" s="1">
        <f t="shared" si="35"/>
        <v>35719</v>
      </c>
      <c r="K722" s="1" t="s">
        <v>53</v>
      </c>
      <c r="L722" s="1" t="s">
        <v>167</v>
      </c>
      <c r="M722" s="1" t="s">
        <v>252</v>
      </c>
      <c r="N722"/>
    </row>
    <row r="723" spans="1:14" x14ac:dyDescent="0.25">
      <c r="A723" s="1" t="s">
        <v>430</v>
      </c>
      <c r="B723" s="1" t="s">
        <v>431</v>
      </c>
      <c r="C723" s="5">
        <v>44422</v>
      </c>
      <c r="D723" s="6">
        <f t="shared" si="33"/>
        <v>44422</v>
      </c>
      <c r="E723" s="1" t="s">
        <v>11</v>
      </c>
      <c r="F723" s="1" t="s">
        <v>171</v>
      </c>
      <c r="G723" s="1" t="s">
        <v>432</v>
      </c>
      <c r="H723" s="1" cm="1">
        <f t="array" ref="H723">IF(TRIM(G723)="",
   MEDIAN(IFERROR(--SUBSTITUTE(SUBSTITUTE(SUBSTITUTE(SUBSTITUTE(SUBSTITUTE(SUBSTITUTE(G$2:G$747,"Rs.",""),"INR",""),"₹",""),"â‚¹",""),"$","")," ",""),"")),
   IFERROR(--SUBSTITUTE(SUBSTITUTE(SUBSTITUTE(SUBSTITUTE(SUBSTITUTE(SUBSTITUTE(TRIM(G723),"Rs.",""),"INR",""),"₹",""),"â‚¹",""),"$","")," ",""),"")
)</f>
        <v>988</v>
      </c>
      <c r="I723" s="1">
        <f t="shared" si="34"/>
        <v>988</v>
      </c>
      <c r="J723" s="1" t="str">
        <f t="shared" si="35"/>
        <v>Nill</v>
      </c>
      <c r="K723" s="1" t="s">
        <v>48</v>
      </c>
      <c r="L723" s="1" t="s">
        <v>1252</v>
      </c>
      <c r="M723" s="1" t="s">
        <v>70</v>
      </c>
      <c r="N723"/>
    </row>
    <row r="724" spans="1:14" x14ac:dyDescent="0.25">
      <c r="A724" s="1" t="s">
        <v>302</v>
      </c>
      <c r="B724" s="1" t="s">
        <v>259</v>
      </c>
      <c r="C724" s="5">
        <v>44719</v>
      </c>
      <c r="D724" s="6">
        <f t="shared" si="33"/>
        <v>44719</v>
      </c>
      <c r="E724" s="1" t="s">
        <v>11</v>
      </c>
      <c r="F724" s="1" t="s">
        <v>465</v>
      </c>
      <c r="G724" s="1">
        <v>9408</v>
      </c>
      <c r="H724" s="1" cm="1">
        <f t="array" ref="H724">IF(TRIM(G724)="",
   MEDIAN(IFERROR(--SUBSTITUTE(SUBSTITUTE(SUBSTITUTE(SUBSTITUTE(SUBSTITUTE(SUBSTITUTE(G$2:G$747,"Rs.",""),"INR",""),"₹",""),"â‚¹",""),"$","")," ",""),"")),
   IFERROR(--SUBSTITUTE(SUBSTITUTE(SUBSTITUTE(SUBSTITUTE(SUBSTITUTE(SUBSTITUTE(TRIM(G724),"Rs.",""),"INR",""),"₹",""),"â‚¹",""),"$","")," ",""),"")
)</f>
        <v>9408</v>
      </c>
      <c r="I724" s="1">
        <f t="shared" si="34"/>
        <v>9408</v>
      </c>
      <c r="J724" s="1" t="str">
        <f t="shared" si="35"/>
        <v>Nill</v>
      </c>
      <c r="K724" s="1" t="s">
        <v>204</v>
      </c>
      <c r="L724" s="1" t="s">
        <v>17</v>
      </c>
      <c r="M724" s="1" t="s">
        <v>26</v>
      </c>
      <c r="N724"/>
    </row>
    <row r="725" spans="1:14" x14ac:dyDescent="0.25">
      <c r="A725" s="1" t="s">
        <v>688</v>
      </c>
      <c r="B725" s="1" t="s">
        <v>145</v>
      </c>
      <c r="C725" s="1" t="s">
        <v>689</v>
      </c>
      <c r="D725" s="6">
        <f t="shared" si="33"/>
        <v>44362</v>
      </c>
      <c r="E725" s="1" t="s">
        <v>11</v>
      </c>
      <c r="F725" s="1" t="s">
        <v>249</v>
      </c>
      <c r="G725" s="1">
        <v>999</v>
      </c>
      <c r="H725" s="1" cm="1">
        <f t="array" ref="H725">IF(TRIM(G725)="",
   MEDIAN(IFERROR(--SUBSTITUTE(SUBSTITUTE(SUBSTITUTE(SUBSTITUTE(SUBSTITUTE(SUBSTITUTE(G$2:G$747,"Rs.",""),"INR",""),"₹",""),"â‚¹",""),"$","")," ",""),"")),
   IFERROR(--SUBSTITUTE(SUBSTITUTE(SUBSTITUTE(SUBSTITUTE(SUBSTITUTE(SUBSTITUTE(TRIM(G725),"Rs.",""),"INR",""),"₹",""),"â‚¹",""),"$","")," ",""),"")
)</f>
        <v>999</v>
      </c>
      <c r="I725" s="1">
        <f t="shared" si="34"/>
        <v>999</v>
      </c>
      <c r="J725" s="1" t="str">
        <f t="shared" si="35"/>
        <v>Nill</v>
      </c>
      <c r="K725" s="1" t="s">
        <v>138</v>
      </c>
      <c r="L725" s="1" t="s">
        <v>299</v>
      </c>
      <c r="M725" s="1" t="s">
        <v>252</v>
      </c>
      <c r="N725"/>
    </row>
    <row r="726" spans="1:14" x14ac:dyDescent="0.25">
      <c r="A726" s="1" t="s">
        <v>1043</v>
      </c>
      <c r="B726" s="1" t="s">
        <v>678</v>
      </c>
      <c r="D726" s="6" t="str">
        <f t="shared" si="33"/>
        <v>unknown</v>
      </c>
      <c r="E726" s="1" t="s">
        <v>11</v>
      </c>
      <c r="F726" s="1" t="s">
        <v>30</v>
      </c>
      <c r="G726" s="1">
        <v>7010</v>
      </c>
      <c r="H726" s="1" cm="1">
        <f t="array" ref="H726">IF(TRIM(G726)="",
   MEDIAN(IFERROR(--SUBSTITUTE(SUBSTITUTE(SUBSTITUTE(SUBSTITUTE(SUBSTITUTE(SUBSTITUTE(G$2:G$747,"Rs.",""),"INR",""),"₹",""),"â‚¹",""),"$","")," ",""),"")),
   IFERROR(--SUBSTITUTE(SUBSTITUTE(SUBSTITUTE(SUBSTITUTE(SUBSTITUTE(SUBSTITUTE(TRIM(G726),"Rs.",""),"INR",""),"₹",""),"â‚¹",""),"$","")," ",""),"")
)</f>
        <v>7010</v>
      </c>
      <c r="I726" s="1">
        <f t="shared" si="34"/>
        <v>7010</v>
      </c>
      <c r="J726" s="1" t="str">
        <f t="shared" si="35"/>
        <v>Nill</v>
      </c>
      <c r="K726" s="1" t="s">
        <v>138</v>
      </c>
      <c r="L726" s="1" t="s">
        <v>299</v>
      </c>
      <c r="M726" s="1" t="s">
        <v>35</v>
      </c>
      <c r="N726"/>
    </row>
    <row r="727" spans="1:14" x14ac:dyDescent="0.25">
      <c r="A727" s="1" t="s">
        <v>199</v>
      </c>
      <c r="B727" s="1" t="s">
        <v>174</v>
      </c>
      <c r="C727" s="5">
        <v>45470</v>
      </c>
      <c r="D727" s="6">
        <f t="shared" si="33"/>
        <v>45470</v>
      </c>
      <c r="E727" s="1" t="s">
        <v>20</v>
      </c>
      <c r="F727" s="1" t="s">
        <v>21</v>
      </c>
      <c r="G727" s="1">
        <v>10183</v>
      </c>
      <c r="H727" s="1" cm="1">
        <f t="array" ref="H727">IF(TRIM(G727)="",
   MEDIAN(IFERROR(--SUBSTITUTE(SUBSTITUTE(SUBSTITUTE(SUBSTITUTE(SUBSTITUTE(SUBSTITUTE(G$2:G$747,"Rs.",""),"INR",""),"₹",""),"â‚¹",""),"$","")," ",""),"")),
   IFERROR(--SUBSTITUTE(SUBSTITUTE(SUBSTITUTE(SUBSTITUTE(SUBSTITUTE(SUBSTITUTE(TRIM(G727),"Rs.",""),"INR",""),"₹",""),"â‚¹",""),"$","")," ",""),"")
)</f>
        <v>10183</v>
      </c>
      <c r="I727" s="1" t="str">
        <f t="shared" si="34"/>
        <v>Nill</v>
      </c>
      <c r="J727" s="1">
        <f t="shared" si="35"/>
        <v>10183</v>
      </c>
      <c r="K727" s="1" t="s">
        <v>1253</v>
      </c>
      <c r="L727" s="1" t="s">
        <v>127</v>
      </c>
      <c r="M727" s="1" t="s">
        <v>1253</v>
      </c>
      <c r="N727"/>
    </row>
    <row r="728" spans="1:14" x14ac:dyDescent="0.25">
      <c r="A728" s="1" t="s">
        <v>961</v>
      </c>
      <c r="B728" s="1" t="s">
        <v>306</v>
      </c>
      <c r="C728" s="5">
        <v>44868</v>
      </c>
      <c r="D728" s="6">
        <f t="shared" si="33"/>
        <v>44868</v>
      </c>
      <c r="E728" s="1" t="s">
        <v>11</v>
      </c>
      <c r="F728" s="1" t="s">
        <v>85</v>
      </c>
      <c r="G728" s="1">
        <v>6354</v>
      </c>
      <c r="H728" s="1" cm="1">
        <f t="array" ref="H728">IF(TRIM(G728)="",
   MEDIAN(IFERROR(--SUBSTITUTE(SUBSTITUTE(SUBSTITUTE(SUBSTITUTE(SUBSTITUTE(SUBSTITUTE(G$2:G$747,"Rs.",""),"INR",""),"₹",""),"â‚¹",""),"$","")," ",""),"")),
   IFERROR(--SUBSTITUTE(SUBSTITUTE(SUBSTITUTE(SUBSTITUTE(SUBSTITUTE(SUBSTITUTE(TRIM(G728),"Rs.",""),"INR",""),"₹",""),"â‚¹",""),"$","")," ",""),"")
)</f>
        <v>6354</v>
      </c>
      <c r="I728" s="1">
        <f t="shared" si="34"/>
        <v>6354</v>
      </c>
      <c r="J728" s="1" t="str">
        <f t="shared" si="35"/>
        <v>Nill</v>
      </c>
      <c r="K728" s="1" t="s">
        <v>25</v>
      </c>
      <c r="L728" s="1" t="s">
        <v>40</v>
      </c>
      <c r="M728" s="1" t="s">
        <v>1253</v>
      </c>
      <c r="N728"/>
    </row>
    <row r="729" spans="1:14" x14ac:dyDescent="0.25">
      <c r="A729" s="1" t="s">
        <v>694</v>
      </c>
      <c r="B729" s="1" t="s">
        <v>181</v>
      </c>
      <c r="C729" s="1" t="s">
        <v>695</v>
      </c>
      <c r="D729" s="6">
        <f t="shared" si="33"/>
        <v>44795</v>
      </c>
      <c r="E729" s="1" t="s">
        <v>11</v>
      </c>
      <c r="F729" s="1" t="s">
        <v>30</v>
      </c>
      <c r="G729" s="1">
        <v>5011</v>
      </c>
      <c r="H729" s="1" cm="1">
        <f t="array" ref="H729">IF(TRIM(G729)="",
   MEDIAN(IFERROR(--SUBSTITUTE(SUBSTITUTE(SUBSTITUTE(SUBSTITUTE(SUBSTITUTE(SUBSTITUTE(G$2:G$747,"Rs.",""),"INR",""),"₹",""),"â‚¹",""),"$","")," ",""),"")),
   IFERROR(--SUBSTITUTE(SUBSTITUTE(SUBSTITUTE(SUBSTITUTE(SUBSTITUTE(SUBSTITUTE(TRIM(G729),"Rs.",""),"INR",""),"₹",""),"â‚¹",""),"$","")," ",""),"")
)</f>
        <v>5011</v>
      </c>
      <c r="I729" s="1">
        <f t="shared" si="34"/>
        <v>5011</v>
      </c>
      <c r="J729" s="1" t="str">
        <f t="shared" si="35"/>
        <v>Nill</v>
      </c>
      <c r="K729" s="1" t="s">
        <v>48</v>
      </c>
      <c r="L729" s="1" t="s">
        <v>1252</v>
      </c>
      <c r="M729" s="1" t="s">
        <v>41</v>
      </c>
      <c r="N729"/>
    </row>
    <row r="730" spans="1:14" x14ac:dyDescent="0.25">
      <c r="A730" s="1" t="s">
        <v>965</v>
      </c>
      <c r="B730" s="1" t="s">
        <v>324</v>
      </c>
      <c r="C730" s="5">
        <v>45105</v>
      </c>
      <c r="D730" s="6">
        <f t="shared" si="33"/>
        <v>45105</v>
      </c>
      <c r="E730" s="1" t="s">
        <v>11</v>
      </c>
      <c r="F730" s="1" t="s">
        <v>171</v>
      </c>
      <c r="G730" s="1">
        <v>6760</v>
      </c>
      <c r="H730" s="1" cm="1">
        <f t="array" ref="H730">IF(TRIM(G730)="",
   MEDIAN(IFERROR(--SUBSTITUTE(SUBSTITUTE(SUBSTITUTE(SUBSTITUTE(SUBSTITUTE(SUBSTITUTE(G$2:G$747,"Rs.",""),"INR",""),"₹",""),"â‚¹",""),"$","")," ",""),"")),
   IFERROR(--SUBSTITUTE(SUBSTITUTE(SUBSTITUTE(SUBSTITUTE(SUBSTITUTE(SUBSTITUTE(TRIM(G730),"Rs.",""),"INR",""),"₹",""),"â‚¹",""),"$","")," ",""),"")
)</f>
        <v>6760</v>
      </c>
      <c r="I730" s="1">
        <f t="shared" si="34"/>
        <v>6760</v>
      </c>
      <c r="J730" s="1" t="str">
        <f t="shared" si="35"/>
        <v>Nill</v>
      </c>
      <c r="K730" s="1" t="s">
        <v>25</v>
      </c>
      <c r="L730" s="1" t="s">
        <v>217</v>
      </c>
      <c r="M730" s="1" t="s">
        <v>41</v>
      </c>
      <c r="N730"/>
    </row>
    <row r="731" spans="1:14" x14ac:dyDescent="0.25">
      <c r="A731" s="1" t="s">
        <v>814</v>
      </c>
      <c r="B731" s="1" t="s">
        <v>28</v>
      </c>
      <c r="D731" s="6" t="str">
        <f t="shared" si="33"/>
        <v>unknown</v>
      </c>
      <c r="E731" s="1" t="s">
        <v>11</v>
      </c>
      <c r="F731" s="1" t="s">
        <v>171</v>
      </c>
      <c r="G731" s="1">
        <v>46991</v>
      </c>
      <c r="H731" s="1" cm="1">
        <f t="array" ref="H731">IF(TRIM(G731)="",
   MEDIAN(IFERROR(--SUBSTITUTE(SUBSTITUTE(SUBSTITUTE(SUBSTITUTE(SUBSTITUTE(SUBSTITUTE(G$2:G$747,"Rs.",""),"INR",""),"₹",""),"â‚¹",""),"$","")," ",""),"")),
   IFERROR(--SUBSTITUTE(SUBSTITUTE(SUBSTITUTE(SUBSTITUTE(SUBSTITUTE(SUBSTITUTE(TRIM(G731),"Rs.",""),"INR",""),"₹",""),"â‚¹",""),"$","")," ",""),"")
)</f>
        <v>46991</v>
      </c>
      <c r="I731" s="1">
        <f t="shared" si="34"/>
        <v>46991</v>
      </c>
      <c r="J731" s="1" t="str">
        <f t="shared" si="35"/>
        <v>Nill</v>
      </c>
      <c r="K731" s="1" t="s">
        <v>172</v>
      </c>
      <c r="L731" s="1" t="s">
        <v>40</v>
      </c>
      <c r="M731" s="1" t="s">
        <v>255</v>
      </c>
      <c r="N731"/>
    </row>
    <row r="732" spans="1:14" x14ac:dyDescent="0.25">
      <c r="A732" s="1" t="s">
        <v>175</v>
      </c>
      <c r="B732" s="1" t="s">
        <v>176</v>
      </c>
      <c r="C732" s="5">
        <v>45373</v>
      </c>
      <c r="D732" s="6">
        <f t="shared" si="33"/>
        <v>45373</v>
      </c>
      <c r="E732" s="1" t="s">
        <v>11</v>
      </c>
      <c r="F732" s="1" t="s">
        <v>69</v>
      </c>
      <c r="G732" s="1" t="s">
        <v>177</v>
      </c>
      <c r="H732" s="1" cm="1">
        <f t="array" ref="H732">IF(TRIM(G732)="",
   MEDIAN(IFERROR(--SUBSTITUTE(SUBSTITUTE(SUBSTITUTE(SUBSTITUTE(SUBSTITUTE(SUBSTITUTE(G$2:G$747,"Rs.",""),"INR",""),"₹",""),"â‚¹",""),"$","")," ",""),"")),
   IFERROR(--SUBSTITUTE(SUBSTITUTE(SUBSTITUTE(SUBSTITUTE(SUBSTITUTE(SUBSTITUTE(TRIM(G732),"Rs.",""),"INR",""),"₹",""),"â‚¹",""),"$","")," ",""),"")
)</f>
        <v>8380</v>
      </c>
      <c r="I732" s="1">
        <f t="shared" si="34"/>
        <v>8380</v>
      </c>
      <c r="J732" s="1" t="str">
        <f t="shared" si="35"/>
        <v>Nill</v>
      </c>
      <c r="K732" s="1" t="s">
        <v>25</v>
      </c>
      <c r="L732" s="1" t="s">
        <v>17</v>
      </c>
      <c r="M732" s="1" t="s">
        <v>1253</v>
      </c>
      <c r="N732"/>
    </row>
    <row r="733" spans="1:14" x14ac:dyDescent="0.25">
      <c r="A733" s="1" t="s">
        <v>601</v>
      </c>
      <c r="B733" s="1" t="s">
        <v>324</v>
      </c>
      <c r="C733" s="1" t="s">
        <v>602</v>
      </c>
      <c r="D733" s="6">
        <f t="shared" si="33"/>
        <v>44500</v>
      </c>
      <c r="E733" s="1" t="s">
        <v>11</v>
      </c>
      <c r="F733" s="1" t="s">
        <v>171</v>
      </c>
      <c r="G733" s="1" t="s">
        <v>603</v>
      </c>
      <c r="H733" s="1" cm="1">
        <f t="array" ref="H733">IF(TRIM(G733)="",
   MEDIAN(IFERROR(--SUBSTITUTE(SUBSTITUTE(SUBSTITUTE(SUBSTITUTE(SUBSTITUTE(SUBSTITUTE(G$2:G$747,"Rs.",""),"INR",""),"₹",""),"â‚¹",""),"$","")," ",""),"")),
   IFERROR(--SUBSTITUTE(SUBSTITUTE(SUBSTITUTE(SUBSTITUTE(SUBSTITUTE(SUBSTITUTE(TRIM(G733),"Rs.",""),"INR",""),"₹",""),"â‚¹",""),"$","")," ",""),"")
)</f>
        <v>28183</v>
      </c>
      <c r="I733" s="1">
        <f t="shared" si="34"/>
        <v>28183</v>
      </c>
      <c r="J733" s="1" t="str">
        <f t="shared" si="35"/>
        <v>Nill</v>
      </c>
      <c r="K733" s="1" t="s">
        <v>172</v>
      </c>
      <c r="L733" s="1" t="s">
        <v>127</v>
      </c>
      <c r="M733" s="1" t="s">
        <v>1253</v>
      </c>
      <c r="N733"/>
    </row>
    <row r="734" spans="1:14" x14ac:dyDescent="0.25">
      <c r="A734" s="1" t="s">
        <v>461</v>
      </c>
      <c r="B734" s="1" t="s">
        <v>84</v>
      </c>
      <c r="C734" s="1" t="s">
        <v>462</v>
      </c>
      <c r="D734" s="6">
        <f t="shared" si="33"/>
        <v>44270</v>
      </c>
      <c r="E734" s="1" t="s">
        <v>11</v>
      </c>
      <c r="F734" s="1" t="s">
        <v>85</v>
      </c>
      <c r="G734" s="1">
        <v>9891</v>
      </c>
      <c r="H734" s="1" cm="1">
        <f t="array" ref="H734">IF(TRIM(G734)="",
   MEDIAN(IFERROR(--SUBSTITUTE(SUBSTITUTE(SUBSTITUTE(SUBSTITUTE(SUBSTITUTE(SUBSTITUTE(G$2:G$747,"Rs.",""),"INR",""),"₹",""),"â‚¹",""),"$","")," ",""),"")),
   IFERROR(--SUBSTITUTE(SUBSTITUTE(SUBSTITUTE(SUBSTITUTE(SUBSTITUTE(SUBSTITUTE(TRIM(G734),"Rs.",""),"INR",""),"₹",""),"â‚¹",""),"$","")," ",""),"")
)</f>
        <v>9891</v>
      </c>
      <c r="I734" s="1">
        <f t="shared" si="34"/>
        <v>9891</v>
      </c>
      <c r="J734" s="1" t="str">
        <f t="shared" si="35"/>
        <v>Nill</v>
      </c>
      <c r="K734" s="1" t="s">
        <v>87</v>
      </c>
      <c r="L734" s="1" t="s">
        <v>1252</v>
      </c>
      <c r="M734" s="1" t="s">
        <v>49</v>
      </c>
      <c r="N734"/>
    </row>
    <row r="735" spans="1:14" x14ac:dyDescent="0.25">
      <c r="A735" s="1" t="s">
        <v>1176</v>
      </c>
      <c r="B735" s="1" t="s">
        <v>201</v>
      </c>
      <c r="C735" s="5">
        <v>45066</v>
      </c>
      <c r="D735" s="6">
        <f t="shared" si="33"/>
        <v>45066</v>
      </c>
      <c r="E735" s="1" t="s">
        <v>11</v>
      </c>
      <c r="F735" s="1" t="s">
        <v>249</v>
      </c>
      <c r="G735" s="1">
        <v>9727</v>
      </c>
      <c r="H735" s="1" cm="1">
        <f t="array" ref="H735">IF(TRIM(G735)="",
   MEDIAN(IFERROR(--SUBSTITUTE(SUBSTITUTE(SUBSTITUTE(SUBSTITUTE(SUBSTITUTE(SUBSTITUTE(G$2:G$747,"Rs.",""),"INR",""),"₹",""),"â‚¹",""),"$","")," ",""),"")),
   IFERROR(--SUBSTITUTE(SUBSTITUTE(SUBSTITUTE(SUBSTITUTE(SUBSTITUTE(SUBSTITUTE(TRIM(G735),"Rs.",""),"INR",""),"₹",""),"â‚¹",""),"$","")," ",""),"")
)</f>
        <v>9727</v>
      </c>
      <c r="I735" s="1">
        <f t="shared" si="34"/>
        <v>9727</v>
      </c>
      <c r="J735" s="1" t="str">
        <f t="shared" si="35"/>
        <v>Nill</v>
      </c>
      <c r="K735" s="1" t="s">
        <v>172</v>
      </c>
      <c r="L735" s="1" t="s">
        <v>40</v>
      </c>
      <c r="M735" s="1" t="s">
        <v>70</v>
      </c>
      <c r="N735"/>
    </row>
    <row r="736" spans="1:14" x14ac:dyDescent="0.25">
      <c r="A736" s="1" t="s">
        <v>801</v>
      </c>
      <c r="B736" s="1" t="s">
        <v>84</v>
      </c>
      <c r="C736" s="5">
        <v>44920</v>
      </c>
      <c r="D736" s="6">
        <f t="shared" si="33"/>
        <v>44920</v>
      </c>
      <c r="E736" s="1" t="s">
        <v>11</v>
      </c>
      <c r="F736" s="1" t="s">
        <v>69</v>
      </c>
      <c r="G736" s="1" t="s">
        <v>802</v>
      </c>
      <c r="H736" s="1" cm="1">
        <f t="array" ref="H736">IF(TRIM(G736)="",
   MEDIAN(IFERROR(--SUBSTITUTE(SUBSTITUTE(SUBSTITUTE(SUBSTITUTE(SUBSTITUTE(SUBSTITUTE(G$2:G$747,"Rs.",""),"INR",""),"₹",""),"â‚¹",""),"$","")," ",""),"")),
   IFERROR(--SUBSTITUTE(SUBSTITUTE(SUBSTITUTE(SUBSTITUTE(SUBSTITUTE(SUBSTITUTE(TRIM(G736),"Rs.",""),"INR",""),"₹",""),"â‚¹",""),"$","")," ",""),"")
)</f>
        <v>562</v>
      </c>
      <c r="I736" s="1">
        <f t="shared" si="34"/>
        <v>562</v>
      </c>
      <c r="J736" s="1" t="str">
        <f t="shared" si="35"/>
        <v>Nill</v>
      </c>
      <c r="K736" s="1" t="s">
        <v>31</v>
      </c>
      <c r="L736" s="1" t="s">
        <v>299</v>
      </c>
      <c r="M736" s="1" t="s">
        <v>1253</v>
      </c>
      <c r="N736"/>
    </row>
    <row r="737" spans="1:14" x14ac:dyDescent="0.25">
      <c r="A737" s="1" t="s">
        <v>493</v>
      </c>
      <c r="B737" s="1" t="s">
        <v>283</v>
      </c>
      <c r="C737" s="1" t="s">
        <v>494</v>
      </c>
      <c r="D737" s="6">
        <f t="shared" si="33"/>
        <v>44248</v>
      </c>
      <c r="E737" s="1" t="s">
        <v>11</v>
      </c>
      <c r="F737" s="1" t="s">
        <v>171</v>
      </c>
      <c r="G737" s="1">
        <v>23340</v>
      </c>
      <c r="H737" s="1" cm="1">
        <f t="array" ref="H737">IF(TRIM(G737)="",
   MEDIAN(IFERROR(--SUBSTITUTE(SUBSTITUTE(SUBSTITUTE(SUBSTITUTE(SUBSTITUTE(SUBSTITUTE(G$2:G$747,"Rs.",""),"INR",""),"₹",""),"â‚¹",""),"$","")," ",""),"")),
   IFERROR(--SUBSTITUTE(SUBSTITUTE(SUBSTITUTE(SUBSTITUTE(SUBSTITUTE(SUBSTITUTE(TRIM(G737),"Rs.",""),"INR",""),"₹",""),"â‚¹",""),"$","")," ",""),"")
)</f>
        <v>23340</v>
      </c>
      <c r="I737" s="1">
        <f t="shared" si="34"/>
        <v>23340</v>
      </c>
      <c r="J737" s="1" t="str">
        <f t="shared" si="35"/>
        <v>Nill</v>
      </c>
      <c r="K737" s="1" t="s">
        <v>12</v>
      </c>
      <c r="L737" s="1" t="s">
        <v>40</v>
      </c>
      <c r="M737" s="1" t="s">
        <v>88</v>
      </c>
      <c r="N737"/>
    </row>
    <row r="738" spans="1:14" x14ac:dyDescent="0.25">
      <c r="A738" s="1" t="s">
        <v>999</v>
      </c>
      <c r="B738" s="1" t="s">
        <v>773</v>
      </c>
      <c r="C738" s="5">
        <v>45297</v>
      </c>
      <c r="D738" s="6">
        <f t="shared" si="33"/>
        <v>45297</v>
      </c>
      <c r="E738" s="1" t="s">
        <v>11</v>
      </c>
      <c r="F738" s="1" t="s">
        <v>171</v>
      </c>
      <c r="G738" s="1">
        <v>2774</v>
      </c>
      <c r="H738" s="1" cm="1">
        <f t="array" ref="H738">IF(TRIM(G738)="",
   MEDIAN(IFERROR(--SUBSTITUTE(SUBSTITUTE(SUBSTITUTE(SUBSTITUTE(SUBSTITUTE(SUBSTITUTE(G$2:G$747,"Rs.",""),"INR",""),"₹",""),"â‚¹",""),"$","")," ",""),"")),
   IFERROR(--SUBSTITUTE(SUBSTITUTE(SUBSTITUTE(SUBSTITUTE(SUBSTITUTE(SUBSTITUTE(TRIM(G738),"Rs.",""),"INR",""),"₹",""),"â‚¹",""),"$","")," ",""),"")
)</f>
        <v>2774</v>
      </c>
      <c r="I738" s="1">
        <f t="shared" si="34"/>
        <v>2774</v>
      </c>
      <c r="J738" s="1" t="str">
        <f t="shared" si="35"/>
        <v>Nill</v>
      </c>
      <c r="K738" s="1" t="s">
        <v>25</v>
      </c>
      <c r="L738" s="1" t="s">
        <v>167</v>
      </c>
      <c r="M738" s="1" t="s">
        <v>122</v>
      </c>
      <c r="N738"/>
    </row>
    <row r="739" spans="1:14" x14ac:dyDescent="0.25">
      <c r="A739" s="1" t="s">
        <v>42</v>
      </c>
      <c r="B739" s="1" t="s">
        <v>43</v>
      </c>
      <c r="C739" s="5">
        <v>45638</v>
      </c>
      <c r="D739" s="6">
        <f t="shared" si="33"/>
        <v>45638</v>
      </c>
      <c r="E739" s="1" t="s">
        <v>20</v>
      </c>
      <c r="F739" s="1" t="s">
        <v>44</v>
      </c>
      <c r="G739" s="1">
        <v>62061</v>
      </c>
      <c r="H739" s="1" cm="1">
        <f t="array" ref="H739">IF(TRIM(G739)="",
   MEDIAN(IFERROR(--SUBSTITUTE(SUBSTITUTE(SUBSTITUTE(SUBSTITUTE(SUBSTITUTE(SUBSTITUTE(G$2:G$747,"Rs.",""),"INR",""),"₹",""),"â‚¹",""),"$","")," ",""),"")),
   IFERROR(--SUBSTITUTE(SUBSTITUTE(SUBSTITUTE(SUBSTITUTE(SUBSTITUTE(SUBSTITUTE(TRIM(G739),"Rs.",""),"INR",""),"₹",""),"â‚¹",""),"$","")," ",""),"")
)</f>
        <v>62061</v>
      </c>
      <c r="I739" s="1" t="str">
        <f t="shared" si="34"/>
        <v>Nill</v>
      </c>
      <c r="J739" s="1">
        <f t="shared" si="35"/>
        <v>62061</v>
      </c>
      <c r="K739" s="1" t="s">
        <v>12</v>
      </c>
      <c r="L739" s="1" t="s">
        <v>13</v>
      </c>
      <c r="M739" s="1" t="s">
        <v>1253</v>
      </c>
      <c r="N739"/>
    </row>
    <row r="740" spans="1:14" x14ac:dyDescent="0.25">
      <c r="A740" s="1" t="s">
        <v>343</v>
      </c>
      <c r="B740" s="1" t="s">
        <v>344</v>
      </c>
      <c r="C740" s="5">
        <v>45546</v>
      </c>
      <c r="D740" s="6">
        <f t="shared" si="33"/>
        <v>45546</v>
      </c>
      <c r="E740" s="1" t="s">
        <v>11</v>
      </c>
      <c r="F740" s="1" t="s">
        <v>85</v>
      </c>
      <c r="G740" s="1" t="s">
        <v>345</v>
      </c>
      <c r="H740" s="1" cm="1">
        <f t="array" ref="H740">IF(TRIM(G740)="",
   MEDIAN(IFERROR(--SUBSTITUTE(SUBSTITUTE(SUBSTITUTE(SUBSTITUTE(SUBSTITUTE(SUBSTITUTE(G$2:G$747,"Rs.",""),"INR",""),"₹",""),"â‚¹",""),"$","")," ",""),"")),
   IFERROR(--SUBSTITUTE(SUBSTITUTE(SUBSTITUTE(SUBSTITUTE(SUBSTITUTE(SUBSTITUTE(TRIM(G740),"Rs.",""),"INR",""),"₹",""),"â‚¹",""),"$","")," ",""),"")
)</f>
        <v>1863</v>
      </c>
      <c r="I740" s="1">
        <f t="shared" si="34"/>
        <v>1863</v>
      </c>
      <c r="J740" s="1" t="str">
        <f t="shared" si="35"/>
        <v>Nill</v>
      </c>
      <c r="K740" s="1" t="s">
        <v>25</v>
      </c>
      <c r="L740" s="1" t="s">
        <v>17</v>
      </c>
      <c r="M740" s="1" t="s">
        <v>255</v>
      </c>
      <c r="N740"/>
    </row>
    <row r="741" spans="1:14" x14ac:dyDescent="0.25">
      <c r="A741" s="1" t="s">
        <v>889</v>
      </c>
      <c r="B741" s="1" t="s">
        <v>208</v>
      </c>
      <c r="C741" s="1" t="s">
        <v>890</v>
      </c>
      <c r="D741" s="6">
        <f t="shared" si="33"/>
        <v>44804</v>
      </c>
      <c r="E741" s="1" t="s">
        <v>11</v>
      </c>
      <c r="F741" s="1" t="s">
        <v>85</v>
      </c>
      <c r="G741" s="1">
        <v>388</v>
      </c>
      <c r="H741" s="1" cm="1">
        <f t="array" ref="H741">IF(TRIM(G741)="",
   MEDIAN(IFERROR(--SUBSTITUTE(SUBSTITUTE(SUBSTITUTE(SUBSTITUTE(SUBSTITUTE(SUBSTITUTE(G$2:G$747,"Rs.",""),"INR",""),"₹",""),"â‚¹",""),"$","")," ",""),"")),
   IFERROR(--SUBSTITUTE(SUBSTITUTE(SUBSTITUTE(SUBSTITUTE(SUBSTITUTE(SUBSTITUTE(TRIM(G741),"Rs.",""),"INR",""),"₹",""),"â‚¹",""),"$","")," ",""),"")
)</f>
        <v>388</v>
      </c>
      <c r="I741" s="1">
        <f t="shared" si="34"/>
        <v>388</v>
      </c>
      <c r="J741" s="1" t="str">
        <f t="shared" si="35"/>
        <v>Nill</v>
      </c>
      <c r="K741" s="1" t="s">
        <v>31</v>
      </c>
      <c r="L741" s="1" t="s">
        <v>198</v>
      </c>
      <c r="M741" s="1" t="s">
        <v>117</v>
      </c>
      <c r="N741"/>
    </row>
    <row r="742" spans="1:14" x14ac:dyDescent="0.25">
      <c r="A742" s="1" t="s">
        <v>936</v>
      </c>
      <c r="B742" s="1" t="s">
        <v>773</v>
      </c>
      <c r="C742" s="1" t="s">
        <v>332</v>
      </c>
      <c r="D742" s="6">
        <f t="shared" si="33"/>
        <v>44316</v>
      </c>
      <c r="E742" s="1" t="s">
        <v>11</v>
      </c>
      <c r="F742" s="1" t="s">
        <v>85</v>
      </c>
      <c r="G742" s="1">
        <v>702</v>
      </c>
      <c r="H742" s="1" cm="1">
        <f t="array" ref="H742">IF(TRIM(G742)="",
   MEDIAN(IFERROR(--SUBSTITUTE(SUBSTITUTE(SUBSTITUTE(SUBSTITUTE(SUBSTITUTE(SUBSTITUTE(G$2:G$747,"Rs.",""),"INR",""),"₹",""),"â‚¹",""),"$","")," ",""),"")),
   IFERROR(--SUBSTITUTE(SUBSTITUTE(SUBSTITUTE(SUBSTITUTE(SUBSTITUTE(SUBSTITUTE(TRIM(G742),"Rs.",""),"INR",""),"₹",""),"â‚¹",""),"$","")," ",""),"")
)</f>
        <v>702</v>
      </c>
      <c r="I742" s="1">
        <f t="shared" si="34"/>
        <v>702</v>
      </c>
      <c r="J742" s="1" t="str">
        <f t="shared" si="35"/>
        <v>Nill</v>
      </c>
      <c r="K742" s="1" t="s">
        <v>25</v>
      </c>
      <c r="L742" s="1" t="s">
        <v>40</v>
      </c>
      <c r="M742" s="1" t="s">
        <v>210</v>
      </c>
      <c r="N742"/>
    </row>
    <row r="743" spans="1:14" x14ac:dyDescent="0.25">
      <c r="A743" s="1" t="s">
        <v>962</v>
      </c>
      <c r="B743" s="1" t="s">
        <v>276</v>
      </c>
      <c r="C743" s="5">
        <v>45000</v>
      </c>
      <c r="D743" s="6">
        <f t="shared" si="33"/>
        <v>45000</v>
      </c>
      <c r="E743" s="1" t="s">
        <v>11</v>
      </c>
      <c r="F743" s="1" t="s">
        <v>249</v>
      </c>
      <c r="G743" s="1">
        <v>8158</v>
      </c>
      <c r="H743" s="1" cm="1">
        <f t="array" ref="H743">IF(TRIM(G743)="",
   MEDIAN(IFERROR(--SUBSTITUTE(SUBSTITUTE(SUBSTITUTE(SUBSTITUTE(SUBSTITUTE(SUBSTITUTE(G$2:G$747,"Rs.",""),"INR",""),"₹",""),"â‚¹",""),"$","")," ",""),"")),
   IFERROR(--SUBSTITUTE(SUBSTITUTE(SUBSTITUTE(SUBSTITUTE(SUBSTITUTE(SUBSTITUTE(TRIM(G743),"Rs.",""),"INR",""),"₹",""),"â‚¹",""),"$","")," ",""),"")
)</f>
        <v>8158</v>
      </c>
      <c r="I743" s="1">
        <f t="shared" si="34"/>
        <v>8158</v>
      </c>
      <c r="J743" s="1" t="str">
        <f t="shared" si="35"/>
        <v>Nill</v>
      </c>
      <c r="K743" s="1" t="s">
        <v>12</v>
      </c>
      <c r="L743" s="1" t="s">
        <v>13</v>
      </c>
      <c r="M743" s="1" t="s">
        <v>76</v>
      </c>
      <c r="N743"/>
    </row>
    <row r="744" spans="1:14" x14ac:dyDescent="0.25">
      <c r="A744" s="1" t="s">
        <v>401</v>
      </c>
      <c r="B744" s="1" t="s">
        <v>402</v>
      </c>
      <c r="C744" s="5">
        <v>44919</v>
      </c>
      <c r="D744" s="6">
        <f t="shared" si="33"/>
        <v>44919</v>
      </c>
      <c r="E744" s="1" t="s">
        <v>11</v>
      </c>
      <c r="F744" s="1" t="s">
        <v>249</v>
      </c>
      <c r="G744" s="1">
        <v>2230</v>
      </c>
      <c r="H744" s="1" cm="1">
        <f t="array" ref="H744">IF(TRIM(G744)="",
   MEDIAN(IFERROR(--SUBSTITUTE(SUBSTITUTE(SUBSTITUTE(SUBSTITUTE(SUBSTITUTE(SUBSTITUTE(G$2:G$747,"Rs.",""),"INR",""),"₹",""),"â‚¹",""),"$","")," ",""),"")),
   IFERROR(--SUBSTITUTE(SUBSTITUTE(SUBSTITUTE(SUBSTITUTE(SUBSTITUTE(SUBSTITUTE(TRIM(G744),"Rs.",""),"INR",""),"₹",""),"â‚¹",""),"$","")," ",""),"")
)</f>
        <v>2230</v>
      </c>
      <c r="I744" s="1">
        <f t="shared" si="34"/>
        <v>2230</v>
      </c>
      <c r="J744" s="1" t="str">
        <f t="shared" si="35"/>
        <v>Nill</v>
      </c>
      <c r="K744" s="1" t="s">
        <v>1253</v>
      </c>
      <c r="L744" s="1" t="s">
        <v>127</v>
      </c>
      <c r="M744" s="1" t="s">
        <v>76</v>
      </c>
      <c r="N744"/>
    </row>
    <row r="745" spans="1:14" x14ac:dyDescent="0.25">
      <c r="A745" s="1" t="s">
        <v>1195</v>
      </c>
      <c r="B745" s="1" t="s">
        <v>1159</v>
      </c>
      <c r="C745" s="1" t="s">
        <v>1196</v>
      </c>
      <c r="D745" s="6">
        <f t="shared" si="33"/>
        <v>45470</v>
      </c>
      <c r="E745" s="1" t="s">
        <v>11</v>
      </c>
      <c r="F745" s="1" t="s">
        <v>171</v>
      </c>
      <c r="G745" s="1" t="s">
        <v>1197</v>
      </c>
      <c r="H745" s="1" cm="1">
        <f t="array" ref="H745">IF(TRIM(G745)="",
   MEDIAN(IFERROR(--SUBSTITUTE(SUBSTITUTE(SUBSTITUTE(SUBSTITUTE(SUBSTITUTE(SUBSTITUTE(G$2:G$747,"Rs.",""),"INR",""),"₹",""),"â‚¹",""),"$","")," ",""),"")),
   IFERROR(--SUBSTITUTE(SUBSTITUTE(SUBSTITUTE(SUBSTITUTE(SUBSTITUTE(SUBSTITUTE(TRIM(G745),"Rs.",""),"INR",""),"₹",""),"â‚¹",""),"$","")," ",""),"")
)</f>
        <v>4697</v>
      </c>
      <c r="I745" s="1">
        <f t="shared" si="34"/>
        <v>4697</v>
      </c>
      <c r="J745" s="1" t="str">
        <f t="shared" si="35"/>
        <v>Nill</v>
      </c>
      <c r="K745" s="1" t="s">
        <v>12</v>
      </c>
      <c r="L745" s="1" t="s">
        <v>81</v>
      </c>
      <c r="M745" s="1" t="s">
        <v>14</v>
      </c>
      <c r="N745"/>
    </row>
    <row r="746" spans="1:14" x14ac:dyDescent="0.25">
      <c r="A746" s="1" t="s">
        <v>1210</v>
      </c>
      <c r="B746" s="1" t="s">
        <v>506</v>
      </c>
      <c r="C746" s="5">
        <v>45402</v>
      </c>
      <c r="D746" s="6">
        <f t="shared" si="33"/>
        <v>45402</v>
      </c>
      <c r="E746" s="1" t="s">
        <v>20</v>
      </c>
      <c r="F746" s="1" t="s">
        <v>239</v>
      </c>
      <c r="G746" s="1">
        <v>28581</v>
      </c>
      <c r="H746" s="1" cm="1">
        <f t="array" ref="H746">IF(TRIM(G746)="",
   MEDIAN(IFERROR(--SUBSTITUTE(SUBSTITUTE(SUBSTITUTE(SUBSTITUTE(SUBSTITUTE(SUBSTITUTE(G$2:G$747,"Rs.",""),"INR",""),"₹",""),"â‚¹",""),"$","")," ",""),"")),
   IFERROR(--SUBSTITUTE(SUBSTITUTE(SUBSTITUTE(SUBSTITUTE(SUBSTITUTE(SUBSTITUTE(TRIM(G746),"Rs.",""),"INR",""),"₹",""),"â‚¹",""),"$","")," ",""),"")
)</f>
        <v>28581</v>
      </c>
      <c r="I746" s="1" t="str">
        <f t="shared" si="34"/>
        <v>Nill</v>
      </c>
      <c r="J746" s="1">
        <f t="shared" si="35"/>
        <v>28581</v>
      </c>
      <c r="K746" s="1" t="s">
        <v>25</v>
      </c>
      <c r="L746" s="1" t="s">
        <v>1252</v>
      </c>
      <c r="M746" s="1" t="s">
        <v>128</v>
      </c>
      <c r="N746"/>
    </row>
    <row r="747" spans="1:14" x14ac:dyDescent="0.25">
      <c r="A747" s="1" t="s">
        <v>856</v>
      </c>
      <c r="B747" s="1" t="s">
        <v>295</v>
      </c>
      <c r="C747" s="1" t="s">
        <v>857</v>
      </c>
      <c r="D747" s="6">
        <f t="shared" si="33"/>
        <v>44735</v>
      </c>
      <c r="E747" s="1" t="s">
        <v>11</v>
      </c>
      <c r="F747" s="1" t="s">
        <v>85</v>
      </c>
      <c r="G747" s="1">
        <v>9991</v>
      </c>
      <c r="H747" s="1" cm="1">
        <f t="array" ref="H747">IF(TRIM(G747)="",
   MEDIAN(IFERROR(--SUBSTITUTE(SUBSTITUTE(SUBSTITUTE(SUBSTITUTE(SUBSTITUTE(SUBSTITUTE(G$2:G$747,"Rs.",""),"INR",""),"₹",""),"â‚¹",""),"$","")," ",""),"")),
   IFERROR(--SUBSTITUTE(SUBSTITUTE(SUBSTITUTE(SUBSTITUTE(SUBSTITUTE(SUBSTITUTE(TRIM(G747),"Rs.",""),"INR",""),"₹",""),"â‚¹",""),"$","")," ",""),"")
)</f>
        <v>9991</v>
      </c>
      <c r="I747" s="1">
        <f t="shared" si="34"/>
        <v>9991</v>
      </c>
      <c r="J747" s="1" t="str">
        <f t="shared" si="35"/>
        <v>Nill</v>
      </c>
      <c r="K747" s="1" t="s">
        <v>25</v>
      </c>
      <c r="L747" s="1" t="s">
        <v>1252</v>
      </c>
      <c r="M747" s="1" t="s">
        <v>49</v>
      </c>
      <c r="N747"/>
    </row>
    <row r="748" spans="1:14" x14ac:dyDescent="0.25">
      <c r="A748"/>
      <c r="B748"/>
      <c r="C748"/>
      <c r="D748"/>
      <c r="E748"/>
      <c r="F748"/>
      <c r="G748"/>
      <c r="H748"/>
      <c r="I748"/>
      <c r="J748"/>
      <c r="K748"/>
      <c r="L748"/>
      <c r="M748"/>
      <c r="N748"/>
    </row>
    <row r="749" spans="1:14" x14ac:dyDescent="0.25">
      <c r="A749"/>
      <c r="B749"/>
      <c r="C749"/>
      <c r="D749"/>
      <c r="E749"/>
      <c r="F749"/>
      <c r="G749"/>
      <c r="H749"/>
      <c r="I749"/>
      <c r="J749"/>
      <c r="K749"/>
      <c r="L749"/>
      <c r="M749"/>
      <c r="N749"/>
    </row>
    <row r="750" spans="1:14" x14ac:dyDescent="0.25">
      <c r="A750"/>
      <c r="B750"/>
      <c r="C750"/>
      <c r="D750"/>
      <c r="E750"/>
      <c r="F750"/>
      <c r="G750"/>
      <c r="H750"/>
      <c r="I750"/>
      <c r="J750"/>
      <c r="K750"/>
      <c r="L750"/>
      <c r="M750"/>
      <c r="N750"/>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BEA9B-9A28-4C0B-8B4E-AD777D053279}">
  <sheetPr>
    <tabColor theme="0" tint="-0.499984740745262"/>
  </sheetPr>
  <dimension ref="A3:S45"/>
  <sheetViews>
    <sheetView workbookViewId="0">
      <selection activeCell="C5" sqref="C5:D5"/>
      <pivotSelection pane="bottomRight" activeRow="4" activeCol="2" previousRow="4" previousCol="2" click="1" r:id="rId2">
        <pivotArea type="topRight" dataOnly="0" labelOnly="1" outline="0" fieldPosition="0"/>
      </pivotSelection>
    </sheetView>
  </sheetViews>
  <sheetFormatPr defaultRowHeight="15" x14ac:dyDescent="0.25"/>
  <cols>
    <col min="1" max="1" width="14.5703125" bestFit="1" customWidth="1"/>
    <col min="2" max="2" width="16.28515625" bestFit="1" customWidth="1"/>
    <col min="3" max="3" width="8" bestFit="1" customWidth="1"/>
    <col min="4" max="4" width="11.28515625" bestFit="1" customWidth="1"/>
    <col min="5" max="5" width="12" bestFit="1" customWidth="1"/>
    <col min="6" max="6" width="24.5703125" bestFit="1" customWidth="1"/>
    <col min="7" max="7" width="18.7109375" bestFit="1" customWidth="1"/>
    <col min="8" max="8" width="16.28515625" bestFit="1" customWidth="1"/>
    <col min="9" max="9" width="9.85546875" bestFit="1" customWidth="1"/>
    <col min="10" max="10" width="8.28515625" bestFit="1" customWidth="1"/>
    <col min="11" max="11" width="7" bestFit="1" customWidth="1"/>
    <col min="12" max="12" width="10.5703125" bestFit="1" customWidth="1"/>
    <col min="13" max="13" width="7" bestFit="1" customWidth="1"/>
    <col min="14" max="14" width="7.5703125" bestFit="1" customWidth="1"/>
    <col min="15" max="15" width="8.7109375" bestFit="1" customWidth="1"/>
    <col min="16" max="16" width="8.42578125" bestFit="1" customWidth="1"/>
    <col min="17" max="17" width="6" bestFit="1" customWidth="1"/>
    <col min="18" max="18" width="7" bestFit="1" customWidth="1"/>
    <col min="19" max="19" width="11.28515625" bestFit="1" customWidth="1"/>
    <col min="20" max="20" width="13.28515625" customWidth="1"/>
  </cols>
  <sheetData>
    <row r="3" spans="1:19" ht="12.75" customHeight="1" x14ac:dyDescent="0.25"/>
    <row r="5" spans="1:19" x14ac:dyDescent="0.25">
      <c r="A5" s="3" t="s">
        <v>1248</v>
      </c>
      <c r="B5" s="3" t="s">
        <v>1247</v>
      </c>
      <c r="G5" s="3" t="s">
        <v>1250</v>
      </c>
      <c r="H5" s="3" t="s">
        <v>1247</v>
      </c>
    </row>
    <row r="6" spans="1:19" x14ac:dyDescent="0.25">
      <c r="A6" s="3" t="s">
        <v>1245</v>
      </c>
      <c r="B6" t="s">
        <v>11</v>
      </c>
      <c r="C6" t="s">
        <v>20</v>
      </c>
      <c r="D6" t="s">
        <v>1246</v>
      </c>
      <c r="G6" s="3" t="s">
        <v>1245</v>
      </c>
      <c r="H6" t="s">
        <v>13</v>
      </c>
      <c r="I6" t="s">
        <v>81</v>
      </c>
      <c r="J6" t="s">
        <v>299</v>
      </c>
      <c r="K6" t="s">
        <v>127</v>
      </c>
      <c r="L6" t="s">
        <v>17</v>
      </c>
      <c r="M6" t="s">
        <v>97</v>
      </c>
      <c r="N6" t="s">
        <v>217</v>
      </c>
      <c r="O6" t="s">
        <v>40</v>
      </c>
      <c r="P6" t="s">
        <v>198</v>
      </c>
      <c r="Q6" t="s">
        <v>32</v>
      </c>
      <c r="R6" t="s">
        <v>167</v>
      </c>
      <c r="S6" t="s">
        <v>1246</v>
      </c>
    </row>
    <row r="7" spans="1:19" x14ac:dyDescent="0.25">
      <c r="A7" s="4" t="s">
        <v>239</v>
      </c>
      <c r="C7">
        <v>1284548</v>
      </c>
      <c r="D7">
        <v>1284548</v>
      </c>
      <c r="G7" s="4" t="s">
        <v>239</v>
      </c>
      <c r="H7">
        <v>59853</v>
      </c>
      <c r="I7">
        <v>67675</v>
      </c>
      <c r="J7">
        <v>75757</v>
      </c>
      <c r="K7">
        <v>222939</v>
      </c>
      <c r="L7">
        <v>49639</v>
      </c>
      <c r="M7">
        <v>21355</v>
      </c>
      <c r="N7">
        <v>44932</v>
      </c>
      <c r="O7">
        <v>174110</v>
      </c>
      <c r="P7">
        <v>73654</v>
      </c>
      <c r="Q7">
        <v>46784</v>
      </c>
      <c r="R7">
        <v>178518</v>
      </c>
      <c r="S7">
        <v>222939</v>
      </c>
    </row>
    <row r="8" spans="1:19" x14ac:dyDescent="0.25">
      <c r="A8" s="4" t="s">
        <v>158</v>
      </c>
      <c r="B8">
        <v>212277</v>
      </c>
      <c r="D8">
        <v>212277</v>
      </c>
      <c r="G8" s="4" t="s">
        <v>158</v>
      </c>
      <c r="H8">
        <v>0</v>
      </c>
      <c r="I8">
        <v>0</v>
      </c>
      <c r="J8">
        <v>0</v>
      </c>
      <c r="K8">
        <v>0</v>
      </c>
      <c r="L8">
        <v>0</v>
      </c>
      <c r="M8">
        <v>0</v>
      </c>
      <c r="N8">
        <v>0</v>
      </c>
      <c r="O8">
        <v>0</v>
      </c>
      <c r="P8">
        <v>0</v>
      </c>
      <c r="Q8">
        <v>0</v>
      </c>
      <c r="R8">
        <v>0</v>
      </c>
      <c r="S8">
        <v>0</v>
      </c>
    </row>
    <row r="9" spans="1:19" x14ac:dyDescent="0.25">
      <c r="A9" s="4" t="s">
        <v>30</v>
      </c>
      <c r="B9">
        <v>245189</v>
      </c>
      <c r="D9">
        <v>245189</v>
      </c>
      <c r="G9" s="4" t="s">
        <v>30</v>
      </c>
      <c r="H9">
        <v>0</v>
      </c>
      <c r="I9">
        <v>0</v>
      </c>
      <c r="J9">
        <v>0</v>
      </c>
      <c r="K9">
        <v>0</v>
      </c>
      <c r="L9">
        <v>0</v>
      </c>
      <c r="M9">
        <v>0</v>
      </c>
      <c r="N9">
        <v>0</v>
      </c>
      <c r="O9">
        <v>0</v>
      </c>
      <c r="P9">
        <v>0</v>
      </c>
      <c r="Q9">
        <v>0</v>
      </c>
      <c r="R9">
        <v>0</v>
      </c>
      <c r="S9">
        <v>0</v>
      </c>
    </row>
    <row r="10" spans="1:19" x14ac:dyDescent="0.25">
      <c r="A10" s="4" t="s">
        <v>69</v>
      </c>
      <c r="B10">
        <v>436590</v>
      </c>
      <c r="D10">
        <v>436590</v>
      </c>
      <c r="G10" s="4" t="s">
        <v>69</v>
      </c>
      <c r="H10">
        <v>0</v>
      </c>
      <c r="I10">
        <v>0</v>
      </c>
      <c r="J10">
        <v>0</v>
      </c>
      <c r="K10">
        <v>0</v>
      </c>
      <c r="L10">
        <v>0</v>
      </c>
      <c r="M10">
        <v>0</v>
      </c>
      <c r="N10">
        <v>0</v>
      </c>
      <c r="O10">
        <v>0</v>
      </c>
      <c r="P10">
        <v>0</v>
      </c>
      <c r="Q10">
        <v>0</v>
      </c>
      <c r="R10">
        <v>0</v>
      </c>
      <c r="S10">
        <v>0</v>
      </c>
    </row>
    <row r="11" spans="1:19" x14ac:dyDescent="0.25">
      <c r="A11" s="4" t="s">
        <v>21</v>
      </c>
      <c r="C11">
        <v>774328</v>
      </c>
      <c r="D11">
        <v>774328</v>
      </c>
      <c r="G11" s="4" t="s">
        <v>21</v>
      </c>
      <c r="I11">
        <v>13239</v>
      </c>
      <c r="J11">
        <v>61209</v>
      </c>
      <c r="K11">
        <v>57170</v>
      </c>
      <c r="L11">
        <v>46281</v>
      </c>
      <c r="N11">
        <v>70075</v>
      </c>
      <c r="O11">
        <v>46587</v>
      </c>
      <c r="P11">
        <v>37631</v>
      </c>
      <c r="Q11">
        <v>65471</v>
      </c>
      <c r="R11">
        <v>50009</v>
      </c>
      <c r="S11">
        <v>70075</v>
      </c>
    </row>
    <row r="12" spans="1:19" x14ac:dyDescent="0.25">
      <c r="A12" s="4" t="s">
        <v>465</v>
      </c>
      <c r="B12">
        <v>147234</v>
      </c>
      <c r="D12">
        <v>147234</v>
      </c>
      <c r="G12" s="4" t="s">
        <v>465</v>
      </c>
      <c r="H12">
        <v>0</v>
      </c>
      <c r="I12">
        <v>0</v>
      </c>
      <c r="J12">
        <v>0</v>
      </c>
      <c r="K12">
        <v>0</v>
      </c>
      <c r="L12">
        <v>0</v>
      </c>
      <c r="M12">
        <v>0</v>
      </c>
      <c r="N12">
        <v>0</v>
      </c>
      <c r="O12">
        <v>0</v>
      </c>
      <c r="P12">
        <v>0</v>
      </c>
      <c r="Q12">
        <v>0</v>
      </c>
      <c r="R12">
        <v>0</v>
      </c>
      <c r="S12">
        <v>0</v>
      </c>
    </row>
    <row r="13" spans="1:19" x14ac:dyDescent="0.25">
      <c r="A13" s="4" t="s">
        <v>112</v>
      </c>
      <c r="C13">
        <v>752733</v>
      </c>
      <c r="D13">
        <v>752733</v>
      </c>
      <c r="G13" s="4" t="s">
        <v>112</v>
      </c>
      <c r="H13">
        <v>74630</v>
      </c>
      <c r="I13">
        <v>77578</v>
      </c>
      <c r="J13">
        <v>49098</v>
      </c>
      <c r="K13">
        <v>67910</v>
      </c>
      <c r="L13">
        <v>45361</v>
      </c>
      <c r="M13">
        <v>74243</v>
      </c>
      <c r="N13">
        <v>44066</v>
      </c>
      <c r="O13">
        <v>46219</v>
      </c>
      <c r="P13">
        <v>75822</v>
      </c>
      <c r="Q13">
        <v>29235</v>
      </c>
      <c r="R13">
        <v>73830</v>
      </c>
      <c r="S13">
        <v>77578</v>
      </c>
    </row>
    <row r="14" spans="1:19" x14ac:dyDescent="0.25">
      <c r="A14" s="4" t="s">
        <v>1243</v>
      </c>
      <c r="B14">
        <v>4952</v>
      </c>
      <c r="D14">
        <v>4952</v>
      </c>
      <c r="G14" s="4" t="s">
        <v>1243</v>
      </c>
      <c r="L14">
        <v>0</v>
      </c>
      <c r="S14">
        <v>0</v>
      </c>
    </row>
    <row r="15" spans="1:19" x14ac:dyDescent="0.25">
      <c r="A15" s="4" t="s">
        <v>52</v>
      </c>
      <c r="B15">
        <v>29864</v>
      </c>
      <c r="C15">
        <v>1502901</v>
      </c>
      <c r="D15">
        <v>1532765</v>
      </c>
      <c r="G15" s="4" t="s">
        <v>52</v>
      </c>
      <c r="H15">
        <v>749253</v>
      </c>
      <c r="J15">
        <v>13183</v>
      </c>
      <c r="K15">
        <v>224611</v>
      </c>
      <c r="L15">
        <v>0</v>
      </c>
      <c r="N15">
        <v>50800</v>
      </c>
      <c r="O15">
        <v>59543</v>
      </c>
      <c r="P15">
        <v>42921</v>
      </c>
      <c r="Q15">
        <v>57173</v>
      </c>
      <c r="R15">
        <v>79870</v>
      </c>
      <c r="S15">
        <v>749253</v>
      </c>
    </row>
    <row r="16" spans="1:19" x14ac:dyDescent="0.25">
      <c r="A16" s="4" t="s">
        <v>1244</v>
      </c>
      <c r="B16">
        <v>12183</v>
      </c>
      <c r="D16">
        <v>12183</v>
      </c>
      <c r="G16" s="4" t="s">
        <v>1244</v>
      </c>
      <c r="J16">
        <v>0</v>
      </c>
      <c r="R16">
        <v>0</v>
      </c>
      <c r="S16">
        <v>0</v>
      </c>
    </row>
    <row r="17" spans="1:19" x14ac:dyDescent="0.25">
      <c r="A17" s="4" t="s">
        <v>171</v>
      </c>
      <c r="B17">
        <v>1523156</v>
      </c>
      <c r="D17">
        <v>1523156</v>
      </c>
      <c r="G17" s="4" t="s">
        <v>171</v>
      </c>
      <c r="H17">
        <v>0</v>
      </c>
      <c r="I17">
        <v>0</v>
      </c>
      <c r="J17">
        <v>0</v>
      </c>
      <c r="K17">
        <v>0</v>
      </c>
      <c r="L17">
        <v>0</v>
      </c>
      <c r="M17">
        <v>0</v>
      </c>
      <c r="N17">
        <v>0</v>
      </c>
      <c r="O17">
        <v>0</v>
      </c>
      <c r="P17">
        <v>0</v>
      </c>
      <c r="Q17">
        <v>0</v>
      </c>
      <c r="R17">
        <v>0</v>
      </c>
      <c r="S17">
        <v>0</v>
      </c>
    </row>
    <row r="18" spans="1:19" x14ac:dyDescent="0.25">
      <c r="A18" s="4" t="s">
        <v>44</v>
      </c>
      <c r="C18">
        <v>1741717</v>
      </c>
      <c r="D18">
        <v>1741717</v>
      </c>
      <c r="G18" s="4" t="s">
        <v>44</v>
      </c>
      <c r="H18">
        <v>70693</v>
      </c>
      <c r="I18">
        <v>37665</v>
      </c>
      <c r="J18">
        <v>66678</v>
      </c>
      <c r="K18">
        <v>43818</v>
      </c>
      <c r="L18">
        <v>69923</v>
      </c>
      <c r="M18">
        <v>855881</v>
      </c>
      <c r="N18">
        <v>78532</v>
      </c>
      <c r="P18">
        <v>76239</v>
      </c>
      <c r="Q18">
        <v>12429</v>
      </c>
      <c r="R18">
        <v>56971</v>
      </c>
      <c r="S18">
        <v>855881</v>
      </c>
    </row>
    <row r="19" spans="1:19" x14ac:dyDescent="0.25">
      <c r="A19" s="4" t="s">
        <v>186</v>
      </c>
      <c r="B19">
        <v>105065</v>
      </c>
      <c r="D19">
        <v>105065</v>
      </c>
      <c r="G19" s="4" t="s">
        <v>186</v>
      </c>
      <c r="H19">
        <v>0</v>
      </c>
      <c r="I19">
        <v>0</v>
      </c>
      <c r="J19">
        <v>0</v>
      </c>
      <c r="K19">
        <v>0</v>
      </c>
      <c r="L19">
        <v>0</v>
      </c>
      <c r="M19">
        <v>0</v>
      </c>
      <c r="N19">
        <v>0</v>
      </c>
      <c r="O19">
        <v>0</v>
      </c>
      <c r="P19">
        <v>0</v>
      </c>
      <c r="Q19">
        <v>0</v>
      </c>
      <c r="R19">
        <v>0</v>
      </c>
      <c r="S19">
        <v>0</v>
      </c>
    </row>
    <row r="20" spans="1:19" x14ac:dyDescent="0.25">
      <c r="A20" s="4" t="s">
        <v>85</v>
      </c>
      <c r="B20">
        <v>340352</v>
      </c>
      <c r="D20">
        <v>340352</v>
      </c>
      <c r="G20" s="4" t="s">
        <v>85</v>
      </c>
      <c r="H20">
        <v>0</v>
      </c>
      <c r="I20">
        <v>0</v>
      </c>
      <c r="J20">
        <v>0</v>
      </c>
      <c r="K20">
        <v>0</v>
      </c>
      <c r="L20">
        <v>0</v>
      </c>
      <c r="M20">
        <v>0</v>
      </c>
      <c r="N20">
        <v>0</v>
      </c>
      <c r="O20">
        <v>0</v>
      </c>
      <c r="P20">
        <v>0</v>
      </c>
      <c r="Q20">
        <v>0</v>
      </c>
      <c r="R20">
        <v>0</v>
      </c>
      <c r="S20">
        <v>0</v>
      </c>
    </row>
    <row r="21" spans="1:19" x14ac:dyDescent="0.25">
      <c r="A21" s="4" t="s">
        <v>1242</v>
      </c>
      <c r="B21">
        <v>40689</v>
      </c>
      <c r="C21">
        <v>112837</v>
      </c>
      <c r="D21">
        <v>153526</v>
      </c>
      <c r="G21" s="4" t="s">
        <v>1242</v>
      </c>
      <c r="H21">
        <v>0</v>
      </c>
      <c r="I21">
        <v>0</v>
      </c>
      <c r="J21">
        <v>61598</v>
      </c>
      <c r="K21">
        <v>0</v>
      </c>
      <c r="L21">
        <v>0</v>
      </c>
      <c r="N21">
        <v>37280</v>
      </c>
      <c r="O21">
        <v>0</v>
      </c>
      <c r="P21">
        <v>0</v>
      </c>
      <c r="R21">
        <v>0</v>
      </c>
      <c r="S21">
        <v>61598</v>
      </c>
    </row>
    <row r="22" spans="1:19" x14ac:dyDescent="0.25">
      <c r="A22" s="4" t="s">
        <v>249</v>
      </c>
      <c r="B22">
        <v>261881</v>
      </c>
      <c r="D22">
        <v>261881</v>
      </c>
      <c r="G22" s="4" t="s">
        <v>249</v>
      </c>
      <c r="H22">
        <v>0</v>
      </c>
      <c r="I22">
        <v>0</v>
      </c>
      <c r="J22">
        <v>0</v>
      </c>
      <c r="K22">
        <v>0</v>
      </c>
      <c r="L22">
        <v>0</v>
      </c>
      <c r="M22">
        <v>0</v>
      </c>
      <c r="N22">
        <v>0</v>
      </c>
      <c r="O22">
        <v>0</v>
      </c>
      <c r="P22">
        <v>0</v>
      </c>
      <c r="R22">
        <v>0</v>
      </c>
      <c r="S22">
        <v>0</v>
      </c>
    </row>
    <row r="23" spans="1:19" x14ac:dyDescent="0.25">
      <c r="A23" s="4" t="s">
        <v>1246</v>
      </c>
      <c r="B23">
        <v>3359432</v>
      </c>
      <c r="C23">
        <v>6169064</v>
      </c>
      <c r="D23">
        <v>9528496</v>
      </c>
      <c r="G23" s="4" t="s">
        <v>1246</v>
      </c>
      <c r="H23">
        <v>749253</v>
      </c>
      <c r="I23">
        <v>77578</v>
      </c>
      <c r="J23">
        <v>75757</v>
      </c>
      <c r="K23">
        <v>224611</v>
      </c>
      <c r="L23">
        <v>69923</v>
      </c>
      <c r="M23">
        <v>855881</v>
      </c>
      <c r="N23">
        <v>78532</v>
      </c>
      <c r="O23">
        <v>174110</v>
      </c>
      <c r="P23">
        <v>76239</v>
      </c>
      <c r="Q23">
        <v>65471</v>
      </c>
      <c r="R23">
        <v>178518</v>
      </c>
      <c r="S23">
        <v>855881</v>
      </c>
    </row>
    <row r="24" spans="1:19" x14ac:dyDescent="0.25">
      <c r="M24" t="s">
        <v>1249</v>
      </c>
      <c r="N24" s="4"/>
    </row>
    <row r="27" spans="1:19" x14ac:dyDescent="0.25">
      <c r="G27" s="3" t="s">
        <v>1251</v>
      </c>
      <c r="H27" s="3" t="s">
        <v>1247</v>
      </c>
    </row>
    <row r="28" spans="1:19" x14ac:dyDescent="0.25">
      <c r="G28" s="3" t="s">
        <v>1245</v>
      </c>
      <c r="H28" t="s">
        <v>13</v>
      </c>
      <c r="I28" t="s">
        <v>81</v>
      </c>
      <c r="J28" t="s">
        <v>299</v>
      </c>
      <c r="K28" t="s">
        <v>127</v>
      </c>
      <c r="L28" t="s">
        <v>17</v>
      </c>
      <c r="M28" t="s">
        <v>97</v>
      </c>
      <c r="N28" t="s">
        <v>217</v>
      </c>
      <c r="O28" t="s">
        <v>40</v>
      </c>
      <c r="P28" t="s">
        <v>198</v>
      </c>
      <c r="Q28" t="s">
        <v>32</v>
      </c>
      <c r="R28" t="s">
        <v>167</v>
      </c>
      <c r="S28" t="s">
        <v>1246</v>
      </c>
    </row>
    <row r="29" spans="1:19" x14ac:dyDescent="0.25">
      <c r="G29" s="4" t="s">
        <v>239</v>
      </c>
      <c r="H29">
        <v>0</v>
      </c>
      <c r="I29">
        <v>0</v>
      </c>
      <c r="J29">
        <v>0</v>
      </c>
      <c r="K29">
        <v>0</v>
      </c>
      <c r="L29">
        <v>0</v>
      </c>
      <c r="M29">
        <v>0</v>
      </c>
      <c r="N29">
        <v>0</v>
      </c>
      <c r="O29">
        <v>0</v>
      </c>
      <c r="P29">
        <v>0</v>
      </c>
      <c r="Q29">
        <v>0</v>
      </c>
      <c r="R29">
        <v>0</v>
      </c>
      <c r="S29">
        <v>0</v>
      </c>
    </row>
    <row r="30" spans="1:19" x14ac:dyDescent="0.25">
      <c r="G30" s="4" t="s">
        <v>158</v>
      </c>
      <c r="H30">
        <v>3888</v>
      </c>
      <c r="I30">
        <v>9273</v>
      </c>
      <c r="J30">
        <v>9806</v>
      </c>
      <c r="K30">
        <v>7397</v>
      </c>
      <c r="L30">
        <v>8119</v>
      </c>
      <c r="M30">
        <v>8479</v>
      </c>
      <c r="N30">
        <v>9601</v>
      </c>
      <c r="O30">
        <v>9531</v>
      </c>
      <c r="P30">
        <v>9358</v>
      </c>
      <c r="Q30">
        <v>9349</v>
      </c>
      <c r="R30">
        <v>8716</v>
      </c>
      <c r="S30">
        <v>9806</v>
      </c>
    </row>
    <row r="31" spans="1:19" x14ac:dyDescent="0.25">
      <c r="G31" s="4" t="s">
        <v>30</v>
      </c>
      <c r="H31">
        <v>4462</v>
      </c>
      <c r="I31">
        <v>9013</v>
      </c>
      <c r="J31">
        <v>15120.822802197803</v>
      </c>
      <c r="K31">
        <v>8152</v>
      </c>
      <c r="L31">
        <v>8195</v>
      </c>
      <c r="M31">
        <v>7038</v>
      </c>
      <c r="N31">
        <v>15120.822802197803</v>
      </c>
      <c r="O31">
        <v>9635</v>
      </c>
      <c r="P31">
        <v>7245</v>
      </c>
      <c r="Q31">
        <v>7183</v>
      </c>
      <c r="R31">
        <v>9939</v>
      </c>
      <c r="S31">
        <v>15120.822802197803</v>
      </c>
    </row>
    <row r="32" spans="1:19" x14ac:dyDescent="0.25">
      <c r="G32" s="4" t="s">
        <v>69</v>
      </c>
      <c r="H32">
        <v>6299</v>
      </c>
      <c r="I32">
        <v>8687</v>
      </c>
      <c r="J32">
        <v>6432</v>
      </c>
      <c r="K32">
        <v>6574</v>
      </c>
      <c r="L32">
        <v>9369</v>
      </c>
      <c r="M32">
        <v>15120.822802197803</v>
      </c>
      <c r="N32">
        <v>15120.822802197803</v>
      </c>
      <c r="O32">
        <v>15120.822802197803</v>
      </c>
      <c r="P32">
        <v>9636</v>
      </c>
      <c r="Q32">
        <v>6197</v>
      </c>
      <c r="R32">
        <v>8174</v>
      </c>
      <c r="S32">
        <v>15120.822802197803</v>
      </c>
    </row>
    <row r="33" spans="7:19" x14ac:dyDescent="0.25">
      <c r="G33" s="4" t="s">
        <v>21</v>
      </c>
      <c r="I33">
        <v>0</v>
      </c>
      <c r="J33">
        <v>0</v>
      </c>
      <c r="K33">
        <v>0</v>
      </c>
      <c r="L33">
        <v>0</v>
      </c>
      <c r="N33">
        <v>0</v>
      </c>
      <c r="O33">
        <v>0</v>
      </c>
      <c r="P33">
        <v>0</v>
      </c>
      <c r="Q33">
        <v>0</v>
      </c>
      <c r="R33">
        <v>0</v>
      </c>
      <c r="S33">
        <v>0</v>
      </c>
    </row>
    <row r="34" spans="7:19" x14ac:dyDescent="0.25">
      <c r="G34" s="4" t="s">
        <v>465</v>
      </c>
      <c r="H34">
        <v>8757</v>
      </c>
      <c r="I34">
        <v>8548</v>
      </c>
      <c r="J34">
        <v>4846</v>
      </c>
      <c r="K34">
        <v>15120.822802197803</v>
      </c>
      <c r="L34">
        <v>9979</v>
      </c>
      <c r="M34">
        <v>7691</v>
      </c>
      <c r="N34">
        <v>8497</v>
      </c>
      <c r="O34">
        <v>6626</v>
      </c>
      <c r="P34">
        <v>5958</v>
      </c>
      <c r="Q34">
        <v>8122</v>
      </c>
      <c r="R34">
        <v>9771</v>
      </c>
      <c r="S34">
        <v>15120.822802197803</v>
      </c>
    </row>
    <row r="35" spans="7:19" x14ac:dyDescent="0.25">
      <c r="G35" s="4" t="s">
        <v>112</v>
      </c>
      <c r="H35">
        <v>0</v>
      </c>
      <c r="I35">
        <v>0</v>
      </c>
      <c r="J35">
        <v>0</v>
      </c>
      <c r="K35">
        <v>0</v>
      </c>
      <c r="L35">
        <v>0</v>
      </c>
      <c r="M35">
        <v>0</v>
      </c>
      <c r="N35">
        <v>0</v>
      </c>
      <c r="O35">
        <v>0</v>
      </c>
      <c r="P35">
        <v>0</v>
      </c>
      <c r="Q35">
        <v>0</v>
      </c>
      <c r="R35">
        <v>0</v>
      </c>
      <c r="S35">
        <v>0</v>
      </c>
    </row>
    <row r="36" spans="7:19" x14ac:dyDescent="0.25">
      <c r="G36" s="4" t="s">
        <v>1243</v>
      </c>
      <c r="L36">
        <v>4952</v>
      </c>
      <c r="S36">
        <v>4952</v>
      </c>
    </row>
    <row r="37" spans="7:19" x14ac:dyDescent="0.25">
      <c r="G37" s="4" t="s">
        <v>52</v>
      </c>
      <c r="H37">
        <v>4823</v>
      </c>
      <c r="J37">
        <v>4955</v>
      </c>
      <c r="K37">
        <v>7687</v>
      </c>
      <c r="L37">
        <v>3219</v>
      </c>
      <c r="N37">
        <v>0</v>
      </c>
      <c r="O37">
        <v>0</v>
      </c>
      <c r="P37">
        <v>15120.822802197803</v>
      </c>
      <c r="Q37">
        <v>0</v>
      </c>
      <c r="R37">
        <v>6610</v>
      </c>
      <c r="S37">
        <v>15120.822802197803</v>
      </c>
    </row>
    <row r="38" spans="7:19" x14ac:dyDescent="0.25">
      <c r="G38" s="4" t="s">
        <v>1244</v>
      </c>
      <c r="J38">
        <v>4883</v>
      </c>
      <c r="R38">
        <v>7300</v>
      </c>
      <c r="S38">
        <v>7300</v>
      </c>
    </row>
    <row r="39" spans="7:19" x14ac:dyDescent="0.25">
      <c r="G39" s="4" t="s">
        <v>171</v>
      </c>
      <c r="H39">
        <v>46284</v>
      </c>
      <c r="I39">
        <v>37865</v>
      </c>
      <c r="J39">
        <v>49400</v>
      </c>
      <c r="K39">
        <v>47146</v>
      </c>
      <c r="L39">
        <v>47473</v>
      </c>
      <c r="M39">
        <v>41358</v>
      </c>
      <c r="N39">
        <v>47843</v>
      </c>
      <c r="O39">
        <v>48330</v>
      </c>
      <c r="P39">
        <v>45894</v>
      </c>
      <c r="Q39">
        <v>32436</v>
      </c>
      <c r="R39">
        <v>45093</v>
      </c>
      <c r="S39">
        <v>49400</v>
      </c>
    </row>
    <row r="40" spans="7:19" x14ac:dyDescent="0.25">
      <c r="G40" s="4" t="s">
        <v>44</v>
      </c>
      <c r="H40">
        <v>0</v>
      </c>
      <c r="I40">
        <v>0</v>
      </c>
      <c r="J40">
        <v>0</v>
      </c>
      <c r="K40">
        <v>0</v>
      </c>
      <c r="L40">
        <v>0</v>
      </c>
      <c r="M40">
        <v>0</v>
      </c>
      <c r="N40">
        <v>0</v>
      </c>
      <c r="P40">
        <v>0</v>
      </c>
      <c r="Q40">
        <v>0</v>
      </c>
      <c r="R40">
        <v>0</v>
      </c>
      <c r="S40">
        <v>0</v>
      </c>
    </row>
    <row r="41" spans="7:19" x14ac:dyDescent="0.25">
      <c r="G41" s="4" t="s">
        <v>186</v>
      </c>
      <c r="H41">
        <v>4694</v>
      </c>
      <c r="I41">
        <v>8161</v>
      </c>
      <c r="J41">
        <v>8231</v>
      </c>
      <c r="K41">
        <v>15120.822802197803</v>
      </c>
      <c r="L41">
        <v>8773</v>
      </c>
      <c r="M41">
        <v>3084</v>
      </c>
      <c r="N41">
        <v>5277</v>
      </c>
      <c r="O41">
        <v>8634</v>
      </c>
      <c r="P41">
        <v>6682</v>
      </c>
      <c r="Q41">
        <v>8006</v>
      </c>
      <c r="R41">
        <v>8861</v>
      </c>
      <c r="S41">
        <v>15120.822802197803</v>
      </c>
    </row>
    <row r="42" spans="7:19" x14ac:dyDescent="0.25">
      <c r="G42" s="4" t="s">
        <v>85</v>
      </c>
      <c r="H42">
        <v>8283</v>
      </c>
      <c r="I42">
        <v>7761</v>
      </c>
      <c r="J42">
        <v>15120.822802197803</v>
      </c>
      <c r="K42">
        <v>9888</v>
      </c>
      <c r="L42">
        <v>9644</v>
      </c>
      <c r="M42">
        <v>9694</v>
      </c>
      <c r="N42">
        <v>8859</v>
      </c>
      <c r="O42">
        <v>9053</v>
      </c>
      <c r="P42">
        <v>9800</v>
      </c>
      <c r="Q42">
        <v>9991</v>
      </c>
      <c r="R42">
        <v>15120.822802197803</v>
      </c>
      <c r="S42">
        <v>15120.822802197803</v>
      </c>
    </row>
    <row r="43" spans="7:19" x14ac:dyDescent="0.25">
      <c r="G43" s="4" t="s">
        <v>1242</v>
      </c>
      <c r="H43">
        <v>1064</v>
      </c>
      <c r="I43">
        <v>6766</v>
      </c>
      <c r="J43">
        <v>6856</v>
      </c>
      <c r="K43">
        <v>6902</v>
      </c>
      <c r="L43">
        <v>6228</v>
      </c>
      <c r="N43">
        <v>0</v>
      </c>
      <c r="O43">
        <v>9556</v>
      </c>
      <c r="P43">
        <v>6348</v>
      </c>
      <c r="R43">
        <v>2837</v>
      </c>
      <c r="S43">
        <v>9556</v>
      </c>
    </row>
    <row r="44" spans="7:19" x14ac:dyDescent="0.25">
      <c r="G44" s="4" t="s">
        <v>249</v>
      </c>
      <c r="H44">
        <v>9245</v>
      </c>
      <c r="I44">
        <v>9476</v>
      </c>
      <c r="J44">
        <v>6725</v>
      </c>
      <c r="K44">
        <v>15120.822802197803</v>
      </c>
      <c r="L44">
        <v>9698</v>
      </c>
      <c r="M44">
        <v>7818</v>
      </c>
      <c r="N44">
        <v>9859</v>
      </c>
      <c r="O44">
        <v>9727</v>
      </c>
      <c r="P44">
        <v>8841</v>
      </c>
      <c r="R44">
        <v>8138</v>
      </c>
      <c r="S44">
        <v>15120.822802197803</v>
      </c>
    </row>
    <row r="45" spans="7:19" x14ac:dyDescent="0.25">
      <c r="G45" s="4" t="s">
        <v>1246</v>
      </c>
      <c r="H45">
        <v>46284</v>
      </c>
      <c r="I45">
        <v>37865</v>
      </c>
      <c r="J45">
        <v>49400</v>
      </c>
      <c r="K45">
        <v>47146</v>
      </c>
      <c r="L45">
        <v>47473</v>
      </c>
      <c r="M45">
        <v>41358</v>
      </c>
      <c r="N45">
        <v>47843</v>
      </c>
      <c r="O45">
        <v>48330</v>
      </c>
      <c r="P45">
        <v>45894</v>
      </c>
      <c r="Q45">
        <v>32436</v>
      </c>
      <c r="R45">
        <v>45093</v>
      </c>
      <c r="S45">
        <v>49400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budgetwise_finance_dataset </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2026-01-22T14:54:19Z</dcterms:created>
  <dcterms:modified xsi:type="dcterms:W3CDTF">2026-02-07T21:37:37Z</dcterms:modified>
</cp:coreProperties>
</file>